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flor\Dropbox\VII. Mark Personal\ControlTramites\"/>
    </mc:Choice>
  </mc:AlternateContent>
  <xr:revisionPtr revIDLastSave="0" documentId="13_ncr:1_{F7DCBB88-4E0A-4F6A-93C1-BA8270B42DAA}" xr6:coauthVersionLast="38" xr6:coauthVersionMax="38" xr10:uidLastSave="{00000000-0000-0000-0000-000000000000}"/>
  <bookViews>
    <workbookView xWindow="0" yWindow="1800" windowWidth="13680" windowHeight="7538" activeTab="1" xr2:uid="{00000000-000D-0000-FFFF-FFFF00000000}"/>
  </bookViews>
  <sheets>
    <sheet name="Pantallas" sheetId="6" r:id="rId1"/>
    <sheet name="CONTROL ACTAS Y CONTRATOS" sheetId="1" r:id="rId2"/>
    <sheet name="COBRAR Y CORREGIR" sheetId="4" r:id="rId3"/>
    <sheet name="EVOLUCIÓN" sheetId="5" r:id="rId4"/>
    <sheet name="DETALLE_EVOLUCIÓN" sheetId="3" r:id="rId5"/>
    <sheet name="DATOS LISTAS" sheetId="2" r:id="rId6"/>
  </sheets>
  <externalReferences>
    <externalReference r:id="rId7"/>
  </externalReferences>
  <definedNames>
    <definedName name="_xlnm._FilterDatabase" localSheetId="1" hidden="1">'CONTROL ACTAS Y CONTRATOS'!$A$7:$L$7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" l="1"/>
  <c r="K3" i="1"/>
  <c r="D3" i="1" l="1"/>
  <c r="M43" i="3" l="1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27" i="3" l="1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44" i="3"/>
  <c r="L44" i="3"/>
  <c r="K44" i="3"/>
  <c r="J44" i="3"/>
  <c r="I44" i="3"/>
  <c r="H44" i="3"/>
  <c r="G44" i="3"/>
  <c r="F44" i="3"/>
  <c r="E44" i="3"/>
  <c r="D44" i="3"/>
  <c r="C44" i="3"/>
  <c r="B44" i="3"/>
  <c r="M36" i="3"/>
  <c r="L36" i="3"/>
  <c r="K36" i="3"/>
  <c r="J36" i="3"/>
  <c r="I36" i="3"/>
  <c r="H36" i="3"/>
  <c r="G36" i="3"/>
  <c r="F36" i="3"/>
  <c r="E36" i="3"/>
  <c r="D36" i="3"/>
  <c r="C36" i="3"/>
  <c r="B36" i="3"/>
  <c r="M9" i="3"/>
  <c r="L9" i="3"/>
  <c r="K9" i="3"/>
  <c r="J9" i="3"/>
  <c r="I9" i="3"/>
  <c r="H9" i="3"/>
  <c r="G9" i="3"/>
  <c r="F9" i="3"/>
  <c r="E9" i="3"/>
  <c r="D9" i="3"/>
  <c r="C9" i="3"/>
  <c r="B9" i="3"/>
  <c r="M11" i="3"/>
  <c r="L11" i="3"/>
  <c r="K11" i="3"/>
  <c r="J11" i="3"/>
  <c r="I11" i="3"/>
  <c r="H11" i="3"/>
  <c r="G11" i="3"/>
  <c r="F11" i="3"/>
  <c r="E11" i="3"/>
  <c r="D11" i="3"/>
  <c r="C11" i="3"/>
  <c r="B11" i="3"/>
  <c r="C10" i="3"/>
  <c r="C12" i="3" l="1"/>
  <c r="M28" i="3"/>
  <c r="L28" i="3"/>
  <c r="K28" i="3"/>
  <c r="J28" i="3"/>
  <c r="I28" i="3"/>
  <c r="H28" i="3"/>
  <c r="G28" i="3"/>
  <c r="F28" i="3"/>
  <c r="E28" i="3"/>
  <c r="D28" i="3"/>
  <c r="C28" i="3"/>
  <c r="B28" i="3"/>
  <c r="M20" i="3"/>
  <c r="L20" i="3"/>
  <c r="K20" i="3"/>
  <c r="J20" i="3"/>
  <c r="I20" i="3"/>
  <c r="H20" i="3"/>
  <c r="G20" i="3"/>
  <c r="F20" i="3"/>
  <c r="E20" i="3"/>
  <c r="D20" i="3"/>
  <c r="C20" i="3"/>
  <c r="B20" i="3"/>
  <c r="L10" i="3"/>
  <c r="L12" i="3" s="1"/>
  <c r="J10" i="3"/>
  <c r="J12" i="3" s="1"/>
  <c r="G10" i="3"/>
  <c r="G12" i="3" s="1"/>
  <c r="E10" i="3"/>
  <c r="E12" i="3" s="1"/>
  <c r="D10" i="3"/>
  <c r="D12" i="3" s="1"/>
  <c r="M10" i="3"/>
  <c r="M12" i="3" s="1"/>
  <c r="K10" i="3"/>
  <c r="K12" i="3" s="1"/>
  <c r="I10" i="3"/>
  <c r="I12" i="3" s="1"/>
  <c r="H10" i="3"/>
  <c r="H12" i="3" s="1"/>
  <c r="F10" i="3"/>
  <c r="F12" i="3" s="1"/>
  <c r="B10" i="3"/>
  <c r="B12" i="3" s="1"/>
  <c r="B13" i="4" l="1"/>
  <c r="B9" i="4"/>
  <c r="B5" i="4"/>
</calcChain>
</file>

<file path=xl/sharedStrings.xml><?xml version="1.0" encoding="utf-8"?>
<sst xmlns="http://schemas.openxmlformats.org/spreadsheetml/2006/main" count="132" uniqueCount="60">
  <si>
    <t>EMPLEADOR</t>
  </si>
  <si>
    <t>TRABAJADOR</t>
  </si>
  <si>
    <t>ESTADO</t>
  </si>
  <si>
    <t>DINERO</t>
  </si>
  <si>
    <t>NOVEDADES</t>
  </si>
  <si>
    <t>TIPO</t>
  </si>
  <si>
    <t>ACTA</t>
  </si>
  <si>
    <t>CONTRATO</t>
  </si>
  <si>
    <t>LEGALIZAR</t>
  </si>
  <si>
    <t>REGISTRADO</t>
  </si>
  <si>
    <t>AVISO IESS</t>
  </si>
  <si>
    <t>HECHO</t>
  </si>
  <si>
    <t>POR HACER</t>
  </si>
  <si>
    <t>ANULADO</t>
  </si>
  <si>
    <t>LLEVÓ</t>
  </si>
  <si>
    <t>ADENDUM</t>
  </si>
  <si>
    <t>AVISOS IESS POR HACER</t>
  </si>
  <si>
    <t>URGENTE CORREGIR ESTO</t>
  </si>
  <si>
    <t>CONTRATOS Y ACTAS POR COBRAR</t>
  </si>
  <si>
    <t>URGENTE COBRAR</t>
  </si>
  <si>
    <t>CONTRATOS Y ACTAS QUE LLEVARON Y NO TRAEN</t>
  </si>
  <si>
    <t xml:space="preserve">URGENTE LLAMAR 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</si>
  <si>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</si>
  <si>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</si>
  <si>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</si>
  <si>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</si>
  <si>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</si>
  <si>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</si>
  <si>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</si>
  <si>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</si>
  <si>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</si>
  <si>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</si>
  <si>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</si>
  <si>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</si>
  <si>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Contratos</t>
  </si>
  <si>
    <t>Actas</t>
  </si>
  <si>
    <t>Adendums</t>
  </si>
  <si>
    <t>CONTROL CONTRATOS Y ACTAS 2018</t>
  </si>
  <si>
    <t>FECHA DESPACHO</t>
  </si>
  <si>
    <t>TOTALES</t>
  </si>
  <si>
    <t>HECHO POR:</t>
  </si>
  <si>
    <t>MARCO FLORES</t>
  </si>
  <si>
    <t>FECHA:</t>
  </si>
  <si>
    <t>ESTADO:   LLEVÓ  ---&gt;   LEGALIZAR  ---&gt;   REGISTRADO                      AVISO IESS:      POR HACER   -----&gt; HECHO                     DINERO:    DEBE ###  ---&gt;   PAGADO ###</t>
  </si>
  <si>
    <t>DEBEN</t>
  </si>
  <si>
    <t>LLEVARON</t>
  </si>
  <si>
    <t>FECHA LISTADO</t>
  </si>
  <si>
    <t>AVISOS POR HACER</t>
  </si>
  <si>
    <t>CONSIGNAR</t>
  </si>
  <si>
    <t>FER</t>
  </si>
  <si>
    <t>DESPACHADO POR</t>
  </si>
  <si>
    <t>INGRESADO Y SGUIMIENTO POR</t>
  </si>
  <si>
    <t>SANTI</t>
  </si>
  <si>
    <t>MARCO</t>
  </si>
  <si>
    <t>IESS POR</t>
  </si>
  <si>
    <t>LICEN</t>
  </si>
  <si>
    <t>USUARIOS</t>
  </si>
  <si>
    <t>Por Trabajador</t>
  </si>
  <si>
    <t>BUSQUEDA RÁPIDA</t>
  </si>
  <si>
    <t>Por Empleador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</si>
</sst>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Fill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0" fontId="2" fillId="0" borderId="3" xfId="0" applyFont="1" applyBorder="1"/>
    <xf numFmtId="0" fontId="2" fillId="0" borderId="4" xfId="0" applyFont="1" applyBorder="1"/>
    <xf numFmtId="0" fontId="2" fillId="0" borderId="2" xfId="0" applyFont="1" applyBorder="1"/>
    <xf numFmtId="49" fontId="4" fillId="0" borderId="0" xfId="0" applyNumberFormat="1" applyFont="1" applyFill="1" applyAlignment="1">
      <alignment horizontal="left" vertical="center" wrapText="1"/>
    </xf>
    <xf numFmtId="164" fontId="4" fillId="0" borderId="0" xfId="0" applyNumberFormat="1" applyFont="1" applyFill="1" applyAlignment="1">
      <alignment horizontal="left" vertical="center" wrapText="1"/>
    </xf>
    <xf numFmtId="49" fontId="4" fillId="0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49" fontId="3" fillId="0" borderId="1" xfId="0" applyNumberFormat="1" applyFont="1" applyFill="1" applyBorder="1" applyAlignment="1">
      <alignment horizontal="left" vertical="center" wrapText="1"/>
    </xf>
    <xf numFmtId="164" fontId="3" fillId="0" borderId="1" xfId="0" applyNumberFormat="1" applyFont="1" applyFill="1" applyBorder="1" applyAlignment="1">
      <alignment horizontal="left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right" vertical="center" wrapText="1"/>
    </xf>
    <xf numFmtId="0" fontId="7" fillId="3" borderId="4" xfId="0" applyFont="1" applyFill="1" applyBorder="1" applyAlignment="1">
      <alignment horizontal="left" vertical="center" wrapText="1"/>
    </xf>
    <xf numFmtId="0" fontId="7" fillId="3" borderId="6" xfId="0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left" vertical="center" wrapText="1"/>
    </xf>
    <xf numFmtId="49" fontId="8" fillId="0" borderId="1" xfId="0" applyNumberFormat="1" applyFont="1" applyFill="1" applyBorder="1" applyAlignment="1">
      <alignment horizontal="left" vertical="center" wrapText="1"/>
    </xf>
    <xf numFmtId="0" fontId="7" fillId="3" borderId="3" xfId="0" applyFont="1" applyFill="1" applyBorder="1" applyAlignment="1">
      <alignment vertical="center" wrapText="1"/>
    </xf>
    <xf numFmtId="0" fontId="2" fillId="0" borderId="2" xfId="0" applyFont="1" applyFill="1" applyBorder="1"/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right"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4" fontId="5" fillId="2" borderId="6" xfId="0" applyNumberFormat="1" applyFont="1" applyFill="1" applyBorder="1" applyAlignment="1">
      <alignment horizontal="center" vertical="center" wrapText="1"/>
    </xf>
    <xf numFmtId="14" fontId="5" fillId="2" borderId="4" xfId="0" applyNumberFormat="1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14" fontId="5" fillId="2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2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D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Comparación</a:t>
            </a:r>
            <a:r>
              <a:rPr lang="es-EC" baseline="0"/>
              <a:t> mensual Total Contratos y Actas por Años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DETALLE_EVOLUCIÓN!$B$7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DETALLE_EVOLUCIÓN!$B$12:$M$12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C-4D1C-8E87-97A358711DAA}"/>
            </c:ext>
          </c:extLst>
        </c:ser>
        <c:ser>
          <c:idx val="1"/>
          <c:order val="1"/>
          <c:tx>
            <c:strRef>
              <c:f>DETALLE_EVOLUCIÓN!$B$15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DETALLE_EVOLUCIÓN!$B$20:$M$20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C-4D1C-8E87-97A358711DAA}"/>
            </c:ext>
          </c:extLst>
        </c:ser>
        <c:ser>
          <c:idx val="2"/>
          <c:order val="2"/>
          <c:tx>
            <c:strRef>
              <c:f>DETALLE_EVOLUCIÓN!$B$23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DETALLE_EVOLUCIÓN!$B$28:$M$28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C-4D1C-8E87-97A358711DAA}"/>
            </c:ext>
          </c:extLst>
        </c:ser>
        <c:ser>
          <c:idx val="3"/>
          <c:order val="3"/>
          <c:tx>
            <c:strRef>
              <c:f>DETALLE_EVOLUCIÓN!$B$31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DETALLE_EVOLUCIÓN!$B$36:$M$36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5C-4D1C-8E87-97A358711DAA}"/>
            </c:ext>
          </c:extLst>
        </c:ser>
        <c:ser>
          <c:idx val="4"/>
          <c:order val="4"/>
          <c:tx>
            <c:strRef>
              <c:f>DETALLE_EVOLUCIÓN!$B$39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5C-4D1C-8E87-97A358711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11552"/>
        <c:axId val="529111880"/>
      </c:barChart>
      <c:catAx>
        <c:axId val="52911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880"/>
        <c:crosses val="autoZero"/>
        <c:auto val="1"/>
        <c:lblAlgn val="ctr"/>
        <c:lblOffset val="100"/>
        <c:noMultiLvlLbl val="0"/>
      </c:catAx>
      <c:valAx>
        <c:axId val="52911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Comparación</a:t>
            </a:r>
            <a:r>
              <a:rPr lang="es-EC" baseline="0"/>
              <a:t> mensual Total Contratos y Actas por Años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DETALLE_EVOLUCIÓN!$B$7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DETALLE_EVOLUCIÓN!$B$12:$M$12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0-4D7E-B768-13DFBD18F17E}"/>
            </c:ext>
          </c:extLst>
        </c:ser>
        <c:ser>
          <c:idx val="1"/>
          <c:order val="1"/>
          <c:tx>
            <c:strRef>
              <c:f>DETALLE_EVOLUCIÓN!$B$15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DETALLE_EVOLUCIÓN!$B$20:$M$20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0-4D7E-B768-13DFBD18F17E}"/>
            </c:ext>
          </c:extLst>
        </c:ser>
        <c:ser>
          <c:idx val="2"/>
          <c:order val="2"/>
          <c:tx>
            <c:strRef>
              <c:f>DETALLE_EVOLUCIÓN!$B$23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DETALLE_EVOLUCIÓN!$B$28:$M$28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D0-4D7E-B768-13DFBD18F17E}"/>
            </c:ext>
          </c:extLst>
        </c:ser>
        <c:ser>
          <c:idx val="3"/>
          <c:order val="3"/>
          <c:tx>
            <c:strRef>
              <c:f>DETALLE_EVOLUCIÓN!$B$31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DETALLE_EVOLUCIÓN!$B$36:$M$36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D0-4D7E-B768-13DFBD18F17E}"/>
            </c:ext>
          </c:extLst>
        </c:ser>
        <c:ser>
          <c:idx val="4"/>
          <c:order val="4"/>
          <c:tx>
            <c:strRef>
              <c:f>DETALLE_EVOLUCIÓN!$B$39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D0-4D7E-B768-13DFBD18F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11552"/>
        <c:axId val="529111880"/>
      </c:radarChart>
      <c:catAx>
        <c:axId val="52911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880"/>
        <c:crosses val="autoZero"/>
        <c:auto val="1"/>
        <c:lblAlgn val="ctr"/>
        <c:lblOffset val="100"/>
        <c:noMultiLvlLbl val="0"/>
      </c:catAx>
      <c:valAx>
        <c:axId val="52911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185738</xdr:colOff>
          <xdr:row>10</xdr:row>
          <xdr:rowOff>9525</xdr:rowOff>
        </xdr:from>
        <xdr:to>
          <xdr:col>6</xdr:col>
          <xdr:colOff>481013</xdr:colOff>
          <xdr:row>12</xdr:row>
          <xdr:rowOff>109538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 de Usuario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19050</xdr:rowOff>
        </xdr:from>
        <xdr:to>
          <xdr:col>1</xdr:col>
          <xdr:colOff>2447925</xdr:colOff>
          <xdr:row>5</xdr:row>
          <xdr:rowOff>252413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19050</xdr:rowOff>
        </xdr:from>
        <xdr:to>
          <xdr:col>2</xdr:col>
          <xdr:colOff>2233613</xdr:colOff>
          <xdr:row>5</xdr:row>
          <xdr:rowOff>252413</xdr:rowOff>
        </xdr:to>
        <xdr:sp macro="" textlink="">
          <xdr:nvSpPr>
            <xdr:cNvPr id="4099" name="TextBox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171450</xdr:rowOff>
    </xdr:from>
    <xdr:to>
      <xdr:col>6</xdr:col>
      <xdr:colOff>342900</xdr:colOff>
      <xdr:row>23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419100</xdr:colOff>
      <xdr:row>5</xdr:row>
      <xdr:rowOff>171450</xdr:rowOff>
    </xdr:from>
    <xdr:to>
      <xdr:col>12</xdr:col>
      <xdr:colOff>733425</xdr:colOff>
      <xdr:row>23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flor/Dropbox/II.%20Clientes/ACTAS%20Y%20CONTRATOS/CONTROL%20ACTAS%20Y%20CONTR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 ACTAS Y CONTRATOS"/>
      <sheetName val="COBRAR Y CORREGIR"/>
      <sheetName val="EVOLUCIÓN"/>
      <sheetName val="DETALLE_EVOLUCIÓN"/>
      <sheetName val="DATOS LISTAS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H4" sqref="H4"/>
    </sheetView>
  </sheetViews>
  <sheetFormatPr defaultColWidth="8.86328125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1_Click">
                <anchor moveWithCells="1" sizeWithCells="1">
                  <from>
                    <xdr:col>4</xdr:col>
                    <xdr:colOff>185738</xdr:colOff>
                    <xdr:row>10</xdr:row>
                    <xdr:rowOff>9525</xdr:rowOff>
                  </from>
                  <to>
                    <xdr:col>6</xdr:col>
                    <xdr:colOff>481013</xdr:colOff>
                    <xdr:row>12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"/>
  <sheetViews>
    <sheetView tabSelected="1" zoomScaleNormal="100" workbookViewId="0">
      <pane ySplit="7" topLeftCell="A8" activePane="bottomLeft" state="frozen"/>
      <selection pane="bottomLeft" activeCell="B15" sqref="B15"/>
    </sheetView>
  </sheetViews>
  <sheetFormatPr defaultColWidth="11.46484375" defaultRowHeight="14.25" x14ac:dyDescent="0.45"/>
  <cols>
    <col min="1" max="1" width="10.86328125" style="7" bestFit="1" customWidth="1"/>
    <col min="2" max="2" width="34.86328125" style="6" customWidth="1"/>
    <col min="3" max="3" width="31.53125" style="6" customWidth="1"/>
    <col min="4" max="4" width="9.46484375" style="8" customWidth="1"/>
    <col min="5" max="5" width="11.19921875" style="8" customWidth="1"/>
    <col min="6" max="6" width="9.796875" style="8" customWidth="1"/>
    <col min="7" max="7" width="9.86328125" style="6" customWidth="1"/>
    <col min="8" max="10" width="7.796875" style="6" customWidth="1"/>
    <col min="11" max="11" width="10.86328125" style="7" customWidth="1"/>
    <col min="12" max="12" width="56.86328125" style="6" customWidth="1"/>
    <col min="13" max="16384" width="11.46484375" style="2"/>
  </cols>
  <sheetData>
    <row r="1" spans="1:12" s="1" customFormat="1" ht="31.15" thickBot="1" x14ac:dyDescent="0.5">
      <c r="A1" s="26" t="s">
        <v>37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7"/>
    </row>
    <row r="2" spans="1:12" s="1" customFormat="1" ht="14.65" thickBot="1" x14ac:dyDescent="0.5">
      <c r="A2" s="28" t="s">
        <v>43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9"/>
    </row>
    <row r="3" spans="1:12" s="1" customFormat="1" ht="19.5" customHeight="1" thickBot="1" x14ac:dyDescent="0.5">
      <c r="A3" s="12"/>
      <c r="B3" s="12"/>
      <c r="C3" s="12"/>
      <c r="D3" s="13">
        <f>COUNTIF(G8:G1048576,"*DEBE*")</f>
        <v>0</v>
      </c>
      <c r="E3" s="14" t="s">
        <v>44</v>
      </c>
      <c r="F3" s="13">
        <f>COUNTIF(E8:E1048576,"LLEVÓ")</f>
        <v>0</v>
      </c>
      <c r="G3" s="30" t="s">
        <v>45</v>
      </c>
      <c r="H3" s="30"/>
      <c r="I3" s="18"/>
      <c r="J3" s="16"/>
      <c r="K3" s="15">
        <f>COUNTIF(F8:F1048576,"POR HACER")</f>
        <v>0</v>
      </c>
      <c r="L3" s="14" t="s">
        <v>47</v>
      </c>
    </row>
    <row r="4" spans="1:12" s="1" customFormat="1" ht="19.5" customHeight="1" thickBot="1" x14ac:dyDescent="0.5">
      <c r="A4" s="20"/>
      <c r="B4" s="31" t="s">
        <v>58</v>
      </c>
      <c r="C4" s="32"/>
      <c r="D4" s="21"/>
      <c r="E4" s="22"/>
      <c r="F4" s="21"/>
      <c r="G4" s="20"/>
      <c r="H4" s="20"/>
      <c r="I4" s="23"/>
      <c r="J4" s="22"/>
      <c r="K4" s="21"/>
      <c r="L4" s="22"/>
    </row>
    <row r="5" spans="1:12" s="1" customFormat="1" ht="18" x14ac:dyDescent="0.45">
      <c r="A5" s="20"/>
      <c r="B5" s="25" t="s">
        <v>59</v>
      </c>
      <c r="C5" s="25" t="s">
        <v>57</v>
      </c>
      <c r="D5" s="21"/>
      <c r="E5" s="22"/>
      <c r="F5" s="21"/>
      <c r="G5" s="20"/>
      <c r="H5" s="20"/>
      <c r="I5" s="23"/>
      <c r="J5" s="22"/>
      <c r="K5" s="21"/>
      <c r="L5" s="22"/>
    </row>
    <row r="6" spans="1:12" s="1" customFormat="1" ht="22.05" customHeight="1" thickBot="1" x14ac:dyDescent="0.5">
      <c r="A6" s="20"/>
      <c r="B6" s="24"/>
      <c r="C6" s="24"/>
      <c r="D6" s="21"/>
      <c r="E6" s="22"/>
      <c r="F6" s="21"/>
      <c r="G6" s="20"/>
      <c r="H6" s="20"/>
      <c r="I6" s="23"/>
      <c r="J6" s="22"/>
      <c r="K6" s="21"/>
      <c r="L6" s="22"/>
    </row>
    <row r="7" spans="1:12" ht="31.5" customHeight="1" x14ac:dyDescent="0.45">
      <c r="A7" s="11" t="s">
        <v>46</v>
      </c>
      <c r="B7" s="10" t="s">
        <v>0</v>
      </c>
      <c r="C7" s="10" t="s">
        <v>1</v>
      </c>
      <c r="D7" s="10" t="s">
        <v>5</v>
      </c>
      <c r="E7" s="10" t="s">
        <v>2</v>
      </c>
      <c r="F7" s="10" t="s">
        <v>10</v>
      </c>
      <c r="G7" s="10" t="s">
        <v>3</v>
      </c>
      <c r="H7" s="17" t="s">
        <v>54</v>
      </c>
      <c r="I7" s="17" t="s">
        <v>51</v>
      </c>
      <c r="J7" s="17" t="s">
        <v>50</v>
      </c>
      <c r="K7" s="11" t="s">
        <v>38</v>
      </c>
      <c r="L7" s="10" t="s">
        <v>4</v>
      </c>
    </row>
  </sheetData>
  <mergeCells count="4">
    <mergeCell ref="A1:L1"/>
    <mergeCell ref="A2:L2"/>
    <mergeCell ref="G3:H3"/>
    <mergeCell ref="B4:C4"/>
  </mergeCells>
  <conditionalFormatting sqref="L7">
    <cfRule type="containsText" dxfId="28" priority="2001" operator="containsText" text="SALDO">
      <formula>NOT(ISERROR(SEARCH("SALDO",L7)))</formula>
    </cfRule>
    <cfRule type="containsText" dxfId="27" priority="2002" operator="containsText" text="DEBE">
      <formula>NOT(ISERROR(SEARCH("DEBE",L7)))</formula>
    </cfRule>
  </conditionalFormatting>
  <conditionalFormatting sqref="E7">
    <cfRule type="containsText" dxfId="26" priority="1997" operator="containsText" text="FIRMAR">
      <formula>NOT(ISERROR(SEARCH("FIRMAR",E7)))</formula>
    </cfRule>
    <cfRule type="containsText" dxfId="25" priority="1999" operator="containsText" text="REGISTRADO">
      <formula>NOT(ISERROR(SEARCH("REGISTRADO",E7)))</formula>
    </cfRule>
  </conditionalFormatting>
  <conditionalFormatting sqref="L7">
    <cfRule type="containsText" dxfId="24" priority="1998" operator="containsText" text="DESPACHADO">
      <formula>NOT(ISERROR(SEARCH("DESPACHADO",L7)))</formula>
    </cfRule>
  </conditionalFormatting>
  <conditionalFormatting sqref="E7">
    <cfRule type="containsText" dxfId="23" priority="1990" operator="containsText" text="LLAMAR">
      <formula>NOT(ISERROR(SEARCH("LLAMAR",E7)))</formula>
    </cfRule>
  </conditionalFormatting>
  <conditionalFormatting sqref="L7">
    <cfRule type="containsText" dxfId="22" priority="1969" operator="containsText" text="ARCHIVADO">
      <formula>NOT(ISERROR(SEARCH("ARCHIVADO",L7)))</formula>
    </cfRule>
  </conditionalFormatting>
  <conditionalFormatting sqref="E7">
    <cfRule type="containsText" dxfId="21" priority="1569" operator="containsText" text="ANULAD">
      <formula>NOT(ISERROR(SEARCH("ANULAD",E7)))</formula>
    </cfRule>
  </conditionalFormatting>
  <conditionalFormatting sqref="L7">
    <cfRule type="containsText" dxfId="20" priority="1436" operator="containsText" text="ENVIA">
      <formula>NOT(ISERROR(SEARCH("ENVIA",L7)))</formula>
    </cfRule>
  </conditionalFormatting>
  <conditionalFormatting sqref="E8:E1048576">
    <cfRule type="containsText" dxfId="19" priority="1028" operator="containsText" text="LEGALIZAR">
      <formula>NOT(ISERROR(SEARCH("LEGALIZAR",E8)))</formula>
    </cfRule>
    <cfRule type="containsText" dxfId="18" priority="1029" operator="containsText" text="ANULADO">
      <formula>NOT(ISERROR(SEARCH("ANULADO",E8)))</formula>
    </cfRule>
    <cfRule type="containsText" dxfId="17" priority="1030" operator="containsText" text="REGISTRADO">
      <formula>NOT(ISERROR(SEARCH("REGISTRADO",E8)))</formula>
    </cfRule>
    <cfRule type="containsText" dxfId="16" priority="1031" operator="containsText" text="LLEVÓ">
      <formula>NOT(ISERROR(SEARCH("LLEVÓ",E8)))</formula>
    </cfRule>
  </conditionalFormatting>
  <conditionalFormatting sqref="L8:L1048576">
    <cfRule type="containsText" dxfId="15" priority="1024" operator="containsText" text="ANULADO">
      <formula>NOT(ISERROR(SEARCH("ANULADO",L8)))</formula>
    </cfRule>
    <cfRule type="containsText" dxfId="14" priority="1025" operator="containsText" text="DEBE">
      <formula>NOT(ISERROR(SEARCH("DEBE",L8)))</formula>
    </cfRule>
    <cfRule type="containsText" dxfId="13" priority="1026" operator="containsText" text="ARCHIVADO">
      <formula>NOT(ISERROR(SEARCH("ARCHIVADO",L8)))</formula>
    </cfRule>
    <cfRule type="containsText" dxfId="12" priority="1027" operator="containsText" text="DESPACHADO">
      <formula>NOT(ISERROR(SEARCH("DESPACHADO",L8)))</formula>
    </cfRule>
  </conditionalFormatting>
  <conditionalFormatting sqref="L8:L1048576">
    <cfRule type="containsText" dxfId="11" priority="1023" operator="containsText" text="ENVIADO">
      <formula>NOT(ISERROR(SEARCH("ENVIADO",L8)))</formula>
    </cfRule>
  </conditionalFormatting>
  <conditionalFormatting sqref="D7:D1048576">
    <cfRule type="containsText" dxfId="10" priority="717" operator="containsText" text="ACTA">
      <formula>NOT(ISERROR(SEARCH("ACTA",D7)))</formula>
    </cfRule>
    <cfRule type="containsText" dxfId="9" priority="718" operator="containsText" text="ADENDUM">
      <formula>NOT(ISERROR(SEARCH("ADENDUM",D7)))</formula>
    </cfRule>
    <cfRule type="containsText" dxfId="8" priority="719" operator="containsText" text="CONTRATO">
      <formula>NOT(ISERROR(SEARCH("CONTRATO",D7)))</formula>
    </cfRule>
  </conditionalFormatting>
  <conditionalFormatting sqref="F7:F1048576">
    <cfRule type="containsText" dxfId="7" priority="715" operator="containsText" text="POR HACER">
      <formula>NOT(ISERROR(SEARCH("POR HACER",F7)))</formula>
    </cfRule>
    <cfRule type="containsText" dxfId="6" priority="716" operator="containsText" text="HECHO">
      <formula>NOT(ISERROR(SEARCH("HECHO",F7)))</formula>
    </cfRule>
  </conditionalFormatting>
  <conditionalFormatting sqref="A8:A1048576 H8:K1048576">
    <cfRule type="notContainsBlanks" dxfId="5" priority="712">
      <formula>LEN(TRIM(A8))&gt;0</formula>
    </cfRule>
  </conditionalFormatting>
  <conditionalFormatting sqref="G1:J2 J3:J6 G3:G7 G8:J1048576">
    <cfRule type="containsText" dxfId="4" priority="709" operator="containsText" text="DEBE">
      <formula>NOT(ISERROR(SEARCH("DEBE",G1)))</formula>
    </cfRule>
    <cfRule type="containsText" dxfId="3" priority="710" operator="containsText" text="PAGADO">
      <formula>NOT(ISERROR(SEARCH("PAGADO",G1)))</formula>
    </cfRule>
  </conditionalFormatting>
  <conditionalFormatting sqref="E1:E1048576">
    <cfRule type="containsText" dxfId="2" priority="641" operator="containsText" text="CONSIGNAR">
      <formula>NOT(ISERROR(SEARCH("CONSIGNAR",E1)))</formula>
    </cfRule>
  </conditionalFormatting>
  <conditionalFormatting sqref="I1:J6">
    <cfRule type="notContainsBlanks" dxfId="1" priority="434">
      <formula>LEN(TRIM(I1))&gt;0</formula>
    </cfRule>
  </conditionalFormatting>
  <conditionalFormatting sqref="H1:H6">
    <cfRule type="notContainsBlanks" dxfId="0" priority="431">
      <formula>LEN(TRIM(H1))&gt;0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TextBox1">
          <controlPr defaultSize="0" autoLine="0" autoPict="0" r:id="rId5">
            <anchor moveWithCells="1">
              <from>
                <xdr:col>1</xdr:col>
                <xdr:colOff>19050</xdr:colOff>
                <xdr:row>5</xdr:row>
                <xdr:rowOff>19050</xdr:rowOff>
              </from>
              <to>
                <xdr:col>1</xdr:col>
                <xdr:colOff>2447925</xdr:colOff>
                <xdr:row>5</xdr:row>
                <xdr:rowOff>252413</xdr:rowOff>
              </to>
            </anchor>
          </controlPr>
        </control>
      </mc:Choice>
      <mc:Fallback>
        <control shapeId="4097" r:id="rId4" name="TextBox1"/>
      </mc:Fallback>
    </mc:AlternateContent>
    <mc:AlternateContent xmlns:mc="http://schemas.openxmlformats.org/markup-compatibility/2006">
      <mc:Choice Requires="x14">
        <control shapeId="4099" r:id="rId6" name="TextBox2">
          <controlPr defaultSize="0" autoLine="0" r:id="rId7">
            <anchor moveWithCells="1">
              <from>
                <xdr:col>2</xdr:col>
                <xdr:colOff>9525</xdr:colOff>
                <xdr:row>5</xdr:row>
                <xdr:rowOff>19050</xdr:rowOff>
              </from>
              <to>
                <xdr:col>2</xdr:col>
                <xdr:colOff>2233613</xdr:colOff>
                <xdr:row>5</xdr:row>
                <xdr:rowOff>252413</xdr:rowOff>
              </to>
            </anchor>
          </controlPr>
        </control>
      </mc:Choice>
      <mc:Fallback>
        <control shapeId="4099" r:id="rId6" name="Text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'DATOS LISTAS'!$D$4:$D$5</xm:f>
          </x14:formula1>
          <xm:sqref>F8:F1048576</xm:sqref>
        </x14:dataValidation>
        <x14:dataValidation type="list" allowBlank="1" showInputMessage="1" showErrorMessage="1" xr:uid="{00000000-0002-0000-0100-000001000000}">
          <x14:formula1>
            <xm:f>'DATOS LISTAS'!$B$4:$B$6</xm:f>
          </x14:formula1>
          <xm:sqref>D8:D1048576</xm:sqref>
        </x14:dataValidation>
        <x14:dataValidation type="list" allowBlank="1" showInputMessage="1" showErrorMessage="1" xr:uid="{00000000-0002-0000-0100-000002000000}">
          <x14:formula1>
            <xm:f>'DATOS LISTAS'!$C$4:$C$8</xm:f>
          </x14:formula1>
          <xm:sqref>E1:E7 E8:E1048576</xm:sqref>
        </x14:dataValidation>
        <x14:dataValidation type="list" allowBlank="1" showInputMessage="1" showErrorMessage="1" xr:uid="{00000000-0002-0000-0100-000003000000}">
          <x14:formula1>
            <xm:f>'DATOS LISTAS'!$E$4:$E$7</xm:f>
          </x14:formula1>
          <xm:sqref>H8:J1048576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C13"/>
  <sheetViews>
    <sheetView workbookViewId="0">
      <selection activeCell="D15" sqref="D15"/>
    </sheetView>
  </sheetViews>
  <sheetFormatPr defaultColWidth="10.796875" defaultRowHeight="14.25" x14ac:dyDescent="0.45"/>
  <sheetData>
    <row r="4" spans="2:3" x14ac:dyDescent="0.45">
      <c r="B4" t="s">
        <v>16</v>
      </c>
    </row>
    <row r="5" spans="2:3" x14ac:dyDescent="0.45">
      <c r="B5">
        <f>COUNTIF('CONTROL ACTAS Y CONTRATOS'!F8:F1048576,"POR HACER")</f>
        <v>0</v>
      </c>
      <c r="C5" t="s">
        <v>17</v>
      </c>
    </row>
    <row r="8" spans="2:3" x14ac:dyDescent="0.45">
      <c r="B8" t="s">
        <v>18</v>
      </c>
    </row>
    <row r="9" spans="2:3" x14ac:dyDescent="0.45">
      <c r="B9">
        <f>COUNTIF('CONTROL ACTAS Y CONTRATOS'!G8:G1048576,"*DEBE*")</f>
        <v>0</v>
      </c>
      <c r="C9" t="s">
        <v>19</v>
      </c>
    </row>
    <row r="12" spans="2:3" x14ac:dyDescent="0.45">
      <c r="B12" t="s">
        <v>20</v>
      </c>
    </row>
    <row r="13" spans="2:3" x14ac:dyDescent="0.45">
      <c r="B13">
        <f>COUNTIF('CONTROL ACTAS Y CONTRATOS'!E8:E1048576,"LLEVÓ")</f>
        <v>0</v>
      </c>
      <c r="C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4"/>
  <sheetViews>
    <sheetView workbookViewId="0">
      <selection activeCell="G4" sqref="G4"/>
    </sheetView>
  </sheetViews>
  <sheetFormatPr defaultColWidth="10.796875" defaultRowHeight="14.25" x14ac:dyDescent="0.45"/>
  <sheetData>
    <row r="1" spans="1:13" s="1" customFormat="1" ht="31.5" customHeight="1" x14ac:dyDescent="0.45">
      <c r="A1" s="33" t="s">
        <v>37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3" spans="1:13" x14ac:dyDescent="0.45">
      <c r="B3" t="s">
        <v>40</v>
      </c>
      <c r="C3" t="s">
        <v>41</v>
      </c>
    </row>
    <row r="4" spans="1:13" x14ac:dyDescent="0.45">
      <c r="B4" t="s">
        <v>42</v>
      </c>
      <c r="C4" s="9">
        <v>43341</v>
      </c>
    </row>
  </sheetData>
  <mergeCells count="1">
    <mergeCell ref="A1:M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44"/>
  <sheetViews>
    <sheetView workbookViewId="0">
      <selection activeCell="D15" sqref="D15"/>
    </sheetView>
  </sheetViews>
  <sheetFormatPr defaultColWidth="10.796875" defaultRowHeight="14.25" x14ac:dyDescent="0.45"/>
  <sheetData>
    <row r="1" spans="1:13" s="1" customFormat="1" ht="31.5" customHeight="1" x14ac:dyDescent="0.45">
      <c r="A1" s="33" t="s">
        <v>37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3" spans="1:13" x14ac:dyDescent="0.45">
      <c r="B3" t="s">
        <v>40</v>
      </c>
      <c r="C3" t="s">
        <v>41</v>
      </c>
    </row>
    <row r="4" spans="1:13" x14ac:dyDescent="0.45">
      <c r="B4" t="s">
        <v>42</v>
      </c>
      <c r="C4" s="9">
        <v>43341</v>
      </c>
    </row>
    <row r="7" spans="1:13" x14ac:dyDescent="0.45">
      <c r="B7">
        <v>2018</v>
      </c>
    </row>
    <row r="8" spans="1:13" x14ac:dyDescent="0.45">
      <c r="B8" t="s">
        <v>22</v>
      </c>
      <c r="C8" t="s">
        <v>23</v>
      </c>
      <c r="D8" t="s">
        <v>24</v>
      </c>
      <c r="E8" t="s">
        <v>25</v>
      </c>
      <c r="F8" t="s">
        <v>26</v>
      </c>
      <c r="G8" t="s">
        <v>27</v>
      </c>
      <c r="H8" t="s">
        <v>28</v>
      </c>
      <c r="I8" t="s">
        <v>29</v>
      </c>
      <c r="J8" t="s">
        <v>30</v>
      </c>
      <c r="K8" t="s">
        <v>31</v>
      </c>
      <c r="L8" t="s">
        <v>32</v>
      </c>
      <c r="M8" t="s">
        <v>33</v>
      </c>
    </row>
    <row r="9" spans="1:13" x14ac:dyDescent="0.45">
      <c r="A9" t="s">
        <v>35</v>
      </c>
      <c r="B9">
        <f>COUNTIFS('CONTROL ACTAS Y CONTRATOS'!$D$8:$D$1048576,"ACTA",'CONTROL ACTAS Y CONTRATOS'!$A$8:$A$1048576,"&gt;=01/01/2018",'CONTROL ACTAS Y CONTRATOS'!$A$8:$A$1048576,"&lt;=31/01/2018")</f>
        <v>0</v>
      </c>
      <c r="C9">
        <f>COUNTIFS('CONTROL ACTAS Y CONTRATOS'!$D$8:$D$1048576,"ACTA",'CONTROL ACTAS Y CONTRATOS'!$A$8:$A$1048576,"&gt;=01/02/2018",'CONTROL ACTAS Y CONTRATOS'!$A$8:$A$1048576,"&lt;=28/02/2018")</f>
        <v>0</v>
      </c>
      <c r="D9">
        <f>COUNTIFS('CONTROL ACTAS Y CONTRATOS'!$D$8:$D$1048576,"ACTA",'CONTROL ACTAS Y CONTRATOS'!$A$8:$A$1048576,"&gt;=01/03/2018",'CONTROL ACTAS Y CONTRATOS'!$A$8:$A$1048576,"&lt;=31/03/2018")</f>
        <v>0</v>
      </c>
      <c r="E9">
        <f>COUNTIFS('CONTROL ACTAS Y CONTRATOS'!$D$8:$D$1048576,"ACTA",'CONTROL ACTAS Y CONTRATOS'!$A$8:$A$1048576,"&gt;=01/04/2018",'CONTROL ACTAS Y CONTRATOS'!$A$8:$A$1048576,"&lt;=30/04/2018")</f>
        <v>0</v>
      </c>
      <c r="F9">
        <f>COUNTIFS('CONTROL ACTAS Y CONTRATOS'!$D$8:$D$1048576,"ACTA",'CONTROL ACTAS Y CONTRATOS'!$A$8:$A$1048576,"&gt;=01/05/2018",'CONTROL ACTAS Y CONTRATOS'!$A$8:$A$1048576,"&lt;=31/05/2018")</f>
        <v>0</v>
      </c>
      <c r="G9">
        <f>COUNTIFS('CONTROL ACTAS Y CONTRATOS'!$D$8:$D$1048576,"ACTA",'CONTROL ACTAS Y CONTRATOS'!$A$8:$A$1048576,"&gt;=01/06/2018",'CONTROL ACTAS Y CONTRATOS'!$A$8:$A$1048576,"&lt;=30/06/2018")</f>
        <v>0</v>
      </c>
      <c r="H9">
        <f>COUNTIFS('CONTROL ACTAS Y CONTRATOS'!$D$8:$D$1048576,"ACTA",'CONTROL ACTAS Y CONTRATOS'!$A$8:$A$1048576,"&gt;=01/07/2018",'CONTROL ACTAS Y CONTRATOS'!$A$8:$A$1048576,"&lt;=31/07/2018")</f>
        <v>0</v>
      </c>
      <c r="I9">
        <f>COUNTIFS('CONTROL ACTAS Y CONTRATOS'!$D$8:$D$1048576,"ACTA",'CONTROL ACTAS Y CONTRATOS'!$A$8:$A$1048576,"&gt;=01/08/2018",'CONTROL ACTAS Y CONTRATOS'!$A$8:$A$1048576,"&lt;=31/08/2018")</f>
        <v>0</v>
      </c>
      <c r="J9">
        <f>COUNTIFS('CONTROL ACTAS Y CONTRATOS'!$D$8:$D$1048576,"ACTA",'CONTROL ACTAS Y CONTRATOS'!$A$8:$A$1048576,"&gt;=01/09/2018",'CONTROL ACTAS Y CONTRATOS'!$A$8:$A$1048576,"&lt;=30/09/2018")</f>
        <v>0</v>
      </c>
      <c r="K9">
        <f>COUNTIFS('CONTROL ACTAS Y CONTRATOS'!$D$8:$D$1048576,"ACTA",'CONTROL ACTAS Y CONTRATOS'!$A$8:$A$1048576,"&gt;=01/10/2018",'CONTROL ACTAS Y CONTRATOS'!$A$8:$A$1048576,"&lt;=31/10/2018")</f>
        <v>0</v>
      </c>
      <c r="L9">
        <f>COUNTIFS('CONTROL ACTAS Y CONTRATOS'!$D$8:$D$1048576,"ACTA",'CONTROL ACTAS Y CONTRATOS'!$A$8:$A$1048576,"&gt;=01/11/2018",'CONTROL ACTAS Y CONTRATOS'!$A$8:$A$1048576,"&lt;=30/11/2018")</f>
        <v>0</v>
      </c>
      <c r="M9">
        <f>COUNTIFS('CONTROL ACTAS Y CONTRATOS'!$D$8:$D$1048576,"ACTA",'CONTROL ACTAS Y CONTRATOS'!$A$8:$A$1048576,"&gt;=01/12/2018",'CONTROL ACTAS Y CONTRATOS'!$A$8:$A$1048576,"&lt;=31/12/2018")</f>
        <v>0</v>
      </c>
    </row>
    <row r="10" spans="1:13" x14ac:dyDescent="0.45">
      <c r="A10" t="s">
        <v>34</v>
      </c>
      <c r="B10">
        <f>COUNTIFS('CONTROL ACTAS Y CONTRATOS'!$D$8:$D$1048576,"CONTRATO",'CONTROL ACTAS Y CONTRATOS'!$A$8:$A$1048576,"&gt;=01/01/2018",'CONTROL ACTAS Y CONTRATOS'!$A$8:$A$1048576,"&lt;=31/01/2018")</f>
        <v>0</v>
      </c>
      <c r="C10">
        <f>COUNTIFS('CONTROL ACTAS Y CONTRATOS'!$D$8:$D$1048576,"CONTRATO",'CONTROL ACTAS Y CONTRATOS'!$A$8:$A$1048576,"&gt;=01/02/2018",'CONTROL ACTAS Y CONTRATOS'!$A$8:$A$1048576,"&lt;=28/02/2018")</f>
        <v>0</v>
      </c>
      <c r="D10">
        <f>COUNTIFS('CONTROL ACTAS Y CONTRATOS'!$D$8:$D$1048576,"CONTRATO",'CONTROL ACTAS Y CONTRATOS'!$A$8:$A$1048576,"&gt;=01/03/2018",'CONTROL ACTAS Y CONTRATOS'!$A$8:$A$1048576,"&lt;=31/03/2018")</f>
        <v>0</v>
      </c>
      <c r="E10">
        <f>COUNTIFS('CONTROL ACTAS Y CONTRATOS'!$D$8:$D$1048576,"CONTRATO",'CONTROL ACTAS Y CONTRATOS'!$A$8:$A$1048576,"&gt;=01/04/2018",'CONTROL ACTAS Y CONTRATOS'!$A$8:$A$1048576,"&lt;=30/04/2018")</f>
        <v>0</v>
      </c>
      <c r="F10">
        <f>COUNTIFS('CONTROL ACTAS Y CONTRATOS'!$D$8:$D$1048576,"CONTRATO",'CONTROL ACTAS Y CONTRATOS'!$A$8:$A$1048576,"&gt;=01/05/2018",'CONTROL ACTAS Y CONTRATOS'!$A$8:$A$1048576,"&lt;=31/05/2018")</f>
        <v>0</v>
      </c>
      <c r="G10">
        <f>COUNTIFS('CONTROL ACTAS Y CONTRATOS'!$D$8:$D$1048576,"CONTRATO",'CONTROL ACTAS Y CONTRATOS'!$A$8:$A$1048576,"&gt;=01/06/2018",'CONTROL ACTAS Y CONTRATOS'!$A$8:$A$1048576,"&lt;=30/06/2018")</f>
        <v>0</v>
      </c>
      <c r="H10">
        <f>COUNTIFS('CONTROL ACTAS Y CONTRATOS'!$D$8:$D$1048576,"CONTRATO",'CONTROL ACTAS Y CONTRATOS'!$A$8:$A$1048576,"&gt;=01/07/2018",'CONTROL ACTAS Y CONTRATOS'!$A$8:$A$1048576,"&lt;=31/07/2018")</f>
        <v>0</v>
      </c>
      <c r="I10">
        <f>COUNTIFS('CONTROL ACTAS Y CONTRATOS'!$D$8:$D$1048576,"CONTRATO",'CONTROL ACTAS Y CONTRATOS'!$A$8:$A$1048576,"&gt;=01/08/2018",'CONTROL ACTAS Y CONTRATOS'!$A$8:$A$1048576,"&lt;=31/08/2018")</f>
        <v>0</v>
      </c>
      <c r="J10">
        <f>COUNTIFS('CONTROL ACTAS Y CONTRATOS'!$D$8:$D$1048576,"CONTRATO",'CONTROL ACTAS Y CONTRATOS'!$A$8:$A$1048576,"&gt;=01/09/2018",'CONTROL ACTAS Y CONTRATOS'!$A$8:$A$1048576,"&lt;=30/09/2018")</f>
        <v>0</v>
      </c>
      <c r="K10">
        <f>COUNTIFS('CONTROL ACTAS Y CONTRATOS'!$D$8:$D$1048576,"CONTRATO",'CONTROL ACTAS Y CONTRATOS'!$A$8:$A$1048576,"&gt;=01/10/2018",'CONTROL ACTAS Y CONTRATOS'!$A$8:$A$1048576,"&lt;=31/10/2018")</f>
        <v>0</v>
      </c>
      <c r="L10">
        <f>COUNTIFS('CONTROL ACTAS Y CONTRATOS'!$D$8:$D$1048576,"CONTRATO",'CONTROL ACTAS Y CONTRATOS'!$A$8:$A$1048576,"&gt;=01/11/2018",'CONTROL ACTAS Y CONTRATOS'!$A$8:$A$1048576,"&lt;=30/11/2018")</f>
        <v>0</v>
      </c>
      <c r="M10">
        <f>COUNTIFS('CONTROL ACTAS Y CONTRATOS'!$D$8:$D$1048576,"CONTRATO",'CONTROL ACTAS Y CONTRATOS'!$A$8:$A$1048576,"&gt;=01/12/2018",'CONTROL ACTAS Y CONTRATOS'!$A$8:$A$1048576,"&lt;=31/12/2018")</f>
        <v>0</v>
      </c>
    </row>
    <row r="11" spans="1:13" x14ac:dyDescent="0.45">
      <c r="A11" t="s">
        <v>36</v>
      </c>
      <c r="B11">
        <f>COUNTIFS('CONTROL ACTAS Y CONTRATOS'!$D$8:$D$1048576,"ADENDUM",'CONTROL ACTAS Y CONTRATOS'!$A$8:$A$1048576,"&gt;=01/01/2018",'CONTROL ACTAS Y CONTRATOS'!$A$8:$A$1048576,"&lt;=31/01/2018")</f>
        <v>0</v>
      </c>
      <c r="C11">
        <f>COUNTIFS('CONTROL ACTAS Y CONTRATOS'!$D$8:$D$1048576,"ADENDUM",'CONTROL ACTAS Y CONTRATOS'!$A$8:$A$1048576,"&gt;=01/02/2018",'CONTROL ACTAS Y CONTRATOS'!$A$8:$A$1048576,"&lt;=28/02/2018")</f>
        <v>0</v>
      </c>
      <c r="D11">
        <f>COUNTIFS('CONTROL ACTAS Y CONTRATOS'!$D$8:$D$1048576,"ADENDUM",'CONTROL ACTAS Y CONTRATOS'!$A$8:$A$1048576,"&gt;=01/03/2018",'CONTROL ACTAS Y CONTRATOS'!$A$8:$A$1048576,"&lt;=31/03/2018")</f>
        <v>0</v>
      </c>
      <c r="E11">
        <f>COUNTIFS('CONTROL ACTAS Y CONTRATOS'!$D$8:$D$1048576,"ADENDUM",'CONTROL ACTAS Y CONTRATOS'!$A$8:$A$1048576,"&gt;=01/04/2018",'CONTROL ACTAS Y CONTRATOS'!$A$8:$A$1048576,"&lt;=30/04/2018")</f>
        <v>0</v>
      </c>
      <c r="F11">
        <f>COUNTIFS('CONTROL ACTAS Y CONTRATOS'!$D$8:$D$1048576,"ADENDUM",'CONTROL ACTAS Y CONTRATOS'!$A$8:$A$1048576,"&gt;=01/05/2018",'CONTROL ACTAS Y CONTRATOS'!$A$8:$A$1048576,"&lt;=31/05/2018")</f>
        <v>0</v>
      </c>
      <c r="G11">
        <f>COUNTIFS('CONTROL ACTAS Y CONTRATOS'!$D$8:$D$1048576,"ADENDUM",'CONTROL ACTAS Y CONTRATOS'!$A$8:$A$1048576,"&gt;=01/06/2018",'CONTROL ACTAS Y CONTRATOS'!$A$8:$A$1048576,"&lt;=30/06/2018")</f>
        <v>0</v>
      </c>
      <c r="H11">
        <f>COUNTIFS('CONTROL ACTAS Y CONTRATOS'!$D$8:$D$1048576,"ADENDUM",'CONTROL ACTAS Y CONTRATOS'!$A$8:$A$1048576,"&gt;=01/07/2018",'CONTROL ACTAS Y CONTRATOS'!$A$8:$A$1048576,"&lt;=31/07/2018")</f>
        <v>0</v>
      </c>
      <c r="I11">
        <f>COUNTIFS('CONTROL ACTAS Y CONTRATOS'!$D$8:$D$1048576,"ADENDUM",'CONTROL ACTAS Y CONTRATOS'!$A$8:$A$1048576,"&gt;=01/08/2018",'CONTROL ACTAS Y CONTRATOS'!$A$8:$A$1048576,"&lt;=31/08/2018")</f>
        <v>0</v>
      </c>
      <c r="J11">
        <f>COUNTIFS('CONTROL ACTAS Y CONTRATOS'!$D$8:$D$1048576,"ADENDUM",'CONTROL ACTAS Y CONTRATOS'!$A$8:$A$1048576,"&gt;=01/09/2018",'CONTROL ACTAS Y CONTRATOS'!$A$8:$A$1048576,"&lt;=30/09/2018")</f>
        <v>0</v>
      </c>
      <c r="K11">
        <f>COUNTIFS('CONTROL ACTAS Y CONTRATOS'!$D$8:$D$1048576,"ADENDUM",'CONTROL ACTAS Y CONTRATOS'!$A$8:$A$1048576,"&gt;=01/10/2018",'CONTROL ACTAS Y CONTRATOS'!$A$8:$A$1048576,"&lt;=31/10/2018")</f>
        <v>0</v>
      </c>
      <c r="L11">
        <f>COUNTIFS('CONTROL ACTAS Y CONTRATOS'!$D$8:$D$1048576,"ADENDUM",'CONTROL ACTAS Y CONTRATOS'!$A$8:$A$1048576,"&gt;=01/11/2018",'CONTROL ACTAS Y CONTRATOS'!$A$8:$A$1048576,"&lt;=30/11/2018")</f>
        <v>0</v>
      </c>
      <c r="M11">
        <f>COUNTIFS('CONTROL ACTAS Y CONTRATOS'!$D$8:$D$1048576,"ADENDUM",'CONTROL ACTAS Y CONTRATOS'!$A$8:$A$1048576,"&gt;=01/12/2018",'CONTROL ACTAS Y CONTRATOS'!$A$8:$A$1048576,"&lt;=31/12/2018")</f>
        <v>0</v>
      </c>
    </row>
    <row r="12" spans="1:13" x14ac:dyDescent="0.45">
      <c r="A12" t="s">
        <v>39</v>
      </c>
      <c r="B12">
        <f>SUM(B9:B11)</f>
        <v>0</v>
      </c>
      <c r="C12">
        <f t="shared" ref="C12:M12" si="0">SUM(C9:C11)</f>
        <v>0</v>
      </c>
      <c r="D12">
        <f t="shared" si="0"/>
        <v>0</v>
      </c>
      <c r="E12">
        <f t="shared" si="0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0</v>
      </c>
      <c r="M12">
        <f t="shared" si="0"/>
        <v>0</v>
      </c>
    </row>
    <row r="15" spans="1:13" x14ac:dyDescent="0.45">
      <c r="B15">
        <v>2017</v>
      </c>
    </row>
    <row r="16" spans="1:13" x14ac:dyDescent="0.45">
      <c r="B16" t="s">
        <v>22</v>
      </c>
      <c r="C16" t="s">
        <v>23</v>
      </c>
      <c r="D16" t="s">
        <v>24</v>
      </c>
      <c r="E16" t="s">
        <v>25</v>
      </c>
      <c r="F16" t="s">
        <v>26</v>
      </c>
      <c r="G16" t="s">
        <v>27</v>
      </c>
      <c r="H16" t="s">
        <v>28</v>
      </c>
      <c r="I16" t="s">
        <v>29</v>
      </c>
      <c r="J16" t="s">
        <v>30</v>
      </c>
      <c r="K16" t="s">
        <v>31</v>
      </c>
      <c r="L16" t="s">
        <v>32</v>
      </c>
      <c r="M16" t="s">
        <v>33</v>
      </c>
    </row>
    <row r="17" spans="1:13" x14ac:dyDescent="0.45">
      <c r="A17" t="s">
        <v>35</v>
      </c>
      <c r="B17">
        <f>COUNTIFS('CONTROL ACTAS Y CONTRATOS'!$D$8:$D$1048576,"ACTA",'CONTROL ACTAS Y CONTRATOS'!$A$8:$A$1048576,"&gt;=01/01/2017",'CONTROL ACTAS Y CONTRATOS'!$A$8:$A$1048576,"&lt;=31/01/2017")</f>
        <v>0</v>
      </c>
      <c r="C17">
        <f>COUNTIFS('CONTROL ACTAS Y CONTRATOS'!$D$8:$D$1048576,"ACTA",'CONTROL ACTAS Y CONTRATOS'!$A$8:$A$1048576,"&gt;=01/02/2017",'CONTROL ACTAS Y CONTRATOS'!$A$8:$A$1048576,"&lt;=28/02/2017")</f>
        <v>0</v>
      </c>
      <c r="D17">
        <f>COUNTIFS('CONTROL ACTAS Y CONTRATOS'!$D$8:$D$1048576,"ACTA",'CONTROL ACTAS Y CONTRATOS'!$A$8:$A$1048576,"&gt;=01/03/2017",'CONTROL ACTAS Y CONTRATOS'!$A$8:$A$1048576,"&lt;=31/03/2017")</f>
        <v>0</v>
      </c>
      <c r="E17">
        <f>COUNTIFS('CONTROL ACTAS Y CONTRATOS'!$D$8:$D$1048576,"ACTA",'CONTROL ACTAS Y CONTRATOS'!$A$8:$A$1048576,"&gt;=01/04/2017",'CONTROL ACTAS Y CONTRATOS'!$A$8:$A$1048576,"&lt;=30/04/2017")</f>
        <v>0</v>
      </c>
      <c r="F17">
        <f>COUNTIFS('CONTROL ACTAS Y CONTRATOS'!$D$8:$D$1048576,"ACTA",'CONTROL ACTAS Y CONTRATOS'!$A$8:$A$1048576,"&gt;=01/05/2017",'CONTROL ACTAS Y CONTRATOS'!$A$8:$A$1048576,"&lt;=31/05/2017")</f>
        <v>0</v>
      </c>
      <c r="G17">
        <f>COUNTIFS('CONTROL ACTAS Y CONTRATOS'!$D$8:$D$1048576,"ACTA",'CONTROL ACTAS Y CONTRATOS'!$A$8:$A$1048576,"&gt;=01/06/2017",'CONTROL ACTAS Y CONTRATOS'!$A$8:$A$1048576,"&lt;=30/06/2017")</f>
        <v>0</v>
      </c>
      <c r="H17">
        <f>COUNTIFS('CONTROL ACTAS Y CONTRATOS'!$D$8:$D$1048576,"ACTA",'CONTROL ACTAS Y CONTRATOS'!$A$8:$A$1048576,"&gt;=01/07/2017",'CONTROL ACTAS Y CONTRATOS'!$A$8:$A$1048576,"&lt;=31/07/2017")</f>
        <v>0</v>
      </c>
      <c r="I17">
        <f>COUNTIFS('CONTROL ACTAS Y CONTRATOS'!$D$8:$D$1048576,"ACTA",'CONTROL ACTAS Y CONTRATOS'!$A$8:$A$1048576,"&gt;=01/08/2017",'CONTROL ACTAS Y CONTRATOS'!$A$8:$A$1048576,"&lt;=31/08/2017")</f>
        <v>0</v>
      </c>
      <c r="J17">
        <f>COUNTIFS('CONTROL ACTAS Y CONTRATOS'!$D$8:$D$1048576,"ACTA",'CONTROL ACTAS Y CONTRATOS'!$A$8:$A$1048576,"&gt;=01/09/2017",'CONTROL ACTAS Y CONTRATOS'!$A$8:$A$1048576,"&lt;=30/09/2017")</f>
        <v>0</v>
      </c>
      <c r="K17">
        <f>COUNTIFS('CONTROL ACTAS Y CONTRATOS'!$D$8:$D$1048576,"ACTA",'CONTROL ACTAS Y CONTRATOS'!$A$8:$A$1048576,"&gt;=01/10/2017",'CONTROL ACTAS Y CONTRATOS'!$A$8:$A$1048576,"&lt;=31/10/2017")</f>
        <v>0</v>
      </c>
      <c r="L17">
        <f>COUNTIFS('CONTROL ACTAS Y CONTRATOS'!$D$8:$D$1048576,"ACTA",'CONTROL ACTAS Y CONTRATOS'!$A$8:$A$1048576,"&gt;=01/11/2017",'CONTROL ACTAS Y CONTRATOS'!$A$8:$A$1048576,"&lt;=30/11/2017")</f>
        <v>0</v>
      </c>
      <c r="M17">
        <f>COUNTIFS('CONTROL ACTAS Y CONTRATOS'!$D$8:$D$1048576,"ACTA",'CONTROL ACTAS Y CONTRATOS'!$A$8:$A$1048576,"&gt;=01/12/2017",'CONTROL ACTAS Y CONTRATOS'!$A$8:$A$1048576,"&lt;=31/12/2017")</f>
        <v>0</v>
      </c>
    </row>
    <row r="18" spans="1:13" x14ac:dyDescent="0.45">
      <c r="A18" t="s">
        <v>34</v>
      </c>
      <c r="B18">
        <f>COUNTIFS('CONTROL ACTAS Y CONTRATOS'!$D$8:$D$1048576,"CONTRATO",'CONTROL ACTAS Y CONTRATOS'!$A$8:$A$1048576,"&gt;=01/01/2017",'CONTROL ACTAS Y CONTRATOS'!$A$8:$A$1048576,"&lt;=31/01/2017")</f>
        <v>0</v>
      </c>
      <c r="C18">
        <f>COUNTIFS('CONTROL ACTAS Y CONTRATOS'!$D$8:$D$1048576,"CONTRATO",'CONTROL ACTAS Y CONTRATOS'!$A$8:$A$1048576,"&gt;=01/02/2017",'CONTROL ACTAS Y CONTRATOS'!$A$8:$A$1048576,"&lt;=28/02/2017")</f>
        <v>0</v>
      </c>
      <c r="D18">
        <f>COUNTIFS('CONTROL ACTAS Y CONTRATOS'!$D$8:$D$1048576,"CONTRATO",'CONTROL ACTAS Y CONTRATOS'!$A$8:$A$1048576,"&gt;=01/03/2017",'CONTROL ACTAS Y CONTRATOS'!$A$8:$A$1048576,"&lt;=31/03/2017")</f>
        <v>0</v>
      </c>
      <c r="E18">
        <f>COUNTIFS('CONTROL ACTAS Y CONTRATOS'!$D$8:$D$1048576,"CONTRATO",'CONTROL ACTAS Y CONTRATOS'!$A$8:$A$1048576,"&gt;=01/04/2017",'CONTROL ACTAS Y CONTRATOS'!$A$8:$A$1048576,"&lt;=30/04/2017")</f>
        <v>0</v>
      </c>
      <c r="F18">
        <f>COUNTIFS('CONTROL ACTAS Y CONTRATOS'!$D$8:$D$1048576,"CONTRATO",'CONTROL ACTAS Y CONTRATOS'!$A$8:$A$1048576,"&gt;=01/05/2017",'CONTROL ACTAS Y CONTRATOS'!$A$8:$A$1048576,"&lt;=31/05/2017")</f>
        <v>0</v>
      </c>
      <c r="G18">
        <f>COUNTIFS('CONTROL ACTAS Y CONTRATOS'!$D$8:$D$1048576,"CONTRATO",'CONTROL ACTAS Y CONTRATOS'!$A$8:$A$1048576,"&gt;=01/06/2017",'CONTROL ACTAS Y CONTRATOS'!$A$8:$A$1048576,"&lt;=30/06/2017")</f>
        <v>0</v>
      </c>
      <c r="H18">
        <f>COUNTIFS('CONTROL ACTAS Y CONTRATOS'!$D$8:$D$1048576,"CONTRATO",'CONTROL ACTAS Y CONTRATOS'!$A$8:$A$1048576,"&gt;=01/07/2017",'CONTROL ACTAS Y CONTRATOS'!$A$8:$A$1048576,"&lt;=31/07/2017")</f>
        <v>0</v>
      </c>
      <c r="I18">
        <f>COUNTIFS('CONTROL ACTAS Y CONTRATOS'!$D$8:$D$1048576,"CONTRATO",'CONTROL ACTAS Y CONTRATOS'!$A$8:$A$1048576,"&gt;=01/08/2017",'CONTROL ACTAS Y CONTRATOS'!$A$8:$A$1048576,"&lt;=31/08/2017")</f>
        <v>0</v>
      </c>
      <c r="J18">
        <f>COUNTIFS('CONTROL ACTAS Y CONTRATOS'!$D$8:$D$1048576,"CONTRATO",'CONTROL ACTAS Y CONTRATOS'!$A$8:$A$1048576,"&gt;=01/09/2017",'CONTROL ACTAS Y CONTRATOS'!$A$8:$A$1048576,"&lt;=30/09/2017")</f>
        <v>0</v>
      </c>
      <c r="K18">
        <f>COUNTIFS('CONTROL ACTAS Y CONTRATOS'!$D$8:$D$1048576,"CONTRATO",'CONTROL ACTAS Y CONTRATOS'!$A$8:$A$1048576,"&gt;=01/10/2017",'CONTROL ACTAS Y CONTRATOS'!$A$8:$A$1048576,"&lt;=31/10/2017")</f>
        <v>0</v>
      </c>
      <c r="L18">
        <f>COUNTIFS('CONTROL ACTAS Y CONTRATOS'!$D$8:$D$1048576,"CONTRATO",'CONTROL ACTAS Y CONTRATOS'!$A$8:$A$1048576,"&gt;=01/11/2017",'CONTROL ACTAS Y CONTRATOS'!$A$8:$A$1048576,"&lt;=30/11/2017")</f>
        <v>0</v>
      </c>
      <c r="M18">
        <f>COUNTIFS('CONTROL ACTAS Y CONTRATOS'!$D$8:$D$1048576,"CONTRATO",'CONTROL ACTAS Y CONTRATOS'!$A$8:$A$1048576,"&gt;=01/12/2017",'CONTROL ACTAS Y CONTRATOS'!$A$8:$A$1048576,"&lt;=31/12/2017")</f>
        <v>0</v>
      </c>
    </row>
    <row r="19" spans="1:13" x14ac:dyDescent="0.45">
      <c r="A19" t="s">
        <v>36</v>
      </c>
      <c r="B19">
        <f>COUNTIFS('CONTROL ACTAS Y CONTRATOS'!$D$8:$D$1048576,"ADENDUM",'CONTROL ACTAS Y CONTRATOS'!$A$8:$A$1048576,"&gt;=01/01/2017",'CONTROL ACTAS Y CONTRATOS'!$A$8:$A$1048576,"&lt;=31/01/2017")</f>
        <v>0</v>
      </c>
      <c r="C19">
        <f>COUNTIFS('CONTROL ACTAS Y CONTRATOS'!$D$8:$D$1048576,"ADENDUM",'CONTROL ACTAS Y CONTRATOS'!$A$8:$A$1048576,"&gt;=01/02/2017",'CONTROL ACTAS Y CONTRATOS'!$A$8:$A$1048576,"&lt;=28/02/2017")</f>
        <v>0</v>
      </c>
      <c r="D19">
        <f>COUNTIFS('CONTROL ACTAS Y CONTRATOS'!$D$8:$D$1048576,"ADENDUM",'CONTROL ACTAS Y CONTRATOS'!$A$8:$A$1048576,"&gt;=01/03/2017",'CONTROL ACTAS Y CONTRATOS'!$A$8:$A$1048576,"&lt;=31/03/2017")</f>
        <v>0</v>
      </c>
      <c r="E19">
        <f>COUNTIFS('CONTROL ACTAS Y CONTRATOS'!$D$8:$D$1048576,"ADENDUM",'CONTROL ACTAS Y CONTRATOS'!$A$8:$A$1048576,"&gt;=01/04/2017",'CONTROL ACTAS Y CONTRATOS'!$A$8:$A$1048576,"&lt;=30/04/2017")</f>
        <v>0</v>
      </c>
      <c r="F19">
        <f>COUNTIFS('CONTROL ACTAS Y CONTRATOS'!$D$8:$D$1048576,"ADENDUM",'CONTROL ACTAS Y CONTRATOS'!$A$8:$A$1048576,"&gt;=01/05/2017",'CONTROL ACTAS Y CONTRATOS'!$A$8:$A$1048576,"&lt;=31/05/2017")</f>
        <v>0</v>
      </c>
      <c r="G19">
        <f>COUNTIFS('CONTROL ACTAS Y CONTRATOS'!$D$8:$D$1048576,"ADENDUM",'CONTROL ACTAS Y CONTRATOS'!$A$8:$A$1048576,"&gt;=01/06/2017",'CONTROL ACTAS Y CONTRATOS'!$A$8:$A$1048576,"&lt;=30/06/2017")</f>
        <v>0</v>
      </c>
      <c r="H19">
        <f>COUNTIFS('CONTROL ACTAS Y CONTRATOS'!$D$8:$D$1048576,"ADENDUM",'CONTROL ACTAS Y CONTRATOS'!$A$8:$A$1048576,"&gt;=01/07/2017",'CONTROL ACTAS Y CONTRATOS'!$A$8:$A$1048576,"&lt;=31/07/2017")</f>
        <v>0</v>
      </c>
      <c r="I19">
        <f>COUNTIFS('CONTROL ACTAS Y CONTRATOS'!$D$8:$D$1048576,"ADENDUM",'CONTROL ACTAS Y CONTRATOS'!$A$8:$A$1048576,"&gt;=01/08/2017",'CONTROL ACTAS Y CONTRATOS'!$A$8:$A$1048576,"&lt;=31/08/2017")</f>
        <v>0</v>
      </c>
      <c r="J19">
        <f>COUNTIFS('CONTROL ACTAS Y CONTRATOS'!$D$8:$D$1048576,"ADENDUM",'CONTROL ACTAS Y CONTRATOS'!$A$8:$A$1048576,"&gt;=01/09/2017",'CONTROL ACTAS Y CONTRATOS'!$A$8:$A$1048576,"&lt;=30/09/2017")</f>
        <v>0</v>
      </c>
      <c r="K19">
        <f>COUNTIFS('CONTROL ACTAS Y CONTRATOS'!$D$8:$D$1048576,"ADENDUM",'CONTROL ACTAS Y CONTRATOS'!$A$8:$A$1048576,"&gt;=01/10/2017",'CONTROL ACTAS Y CONTRATOS'!$A$8:$A$1048576,"&lt;=31/10/2017")</f>
        <v>0</v>
      </c>
      <c r="L19">
        <f>COUNTIFS('CONTROL ACTAS Y CONTRATOS'!$D$8:$D$1048576,"ADENDUM",'CONTROL ACTAS Y CONTRATOS'!$A$8:$A$1048576,"&gt;=01/11/2017",'CONTROL ACTAS Y CONTRATOS'!$A$8:$A$1048576,"&lt;=30/11/2017")</f>
        <v>0</v>
      </c>
      <c r="M19">
        <f>COUNTIFS('CONTROL ACTAS Y CONTRATOS'!$D$8:$D$1048576,"ADENDUM",'CONTROL ACTAS Y CONTRATOS'!$A$8:$A$1048576,"&gt;=01/12/2017",'CONTROL ACTAS Y CONTRATOS'!$A$8:$A$1048576,"&lt;=31/12/2017")</f>
        <v>0</v>
      </c>
    </row>
    <row r="20" spans="1:13" x14ac:dyDescent="0.45">
      <c r="A20" t="s">
        <v>39</v>
      </c>
      <c r="B20">
        <f>SUM(B17:B19)</f>
        <v>0</v>
      </c>
      <c r="C20">
        <f t="shared" ref="C20" si="1">SUM(C17:C19)</f>
        <v>0</v>
      </c>
      <c r="D20">
        <f t="shared" ref="D20" si="2">SUM(D17:D19)</f>
        <v>0</v>
      </c>
      <c r="E20">
        <f t="shared" ref="E20" si="3">SUM(E17:E19)</f>
        <v>0</v>
      </c>
      <c r="F20">
        <f t="shared" ref="F20" si="4">SUM(F17:F19)</f>
        <v>0</v>
      </c>
      <c r="G20">
        <f t="shared" ref="G20" si="5">SUM(G17:G19)</f>
        <v>0</v>
      </c>
      <c r="H20">
        <f t="shared" ref="H20" si="6">SUM(H17:H19)</f>
        <v>0</v>
      </c>
      <c r="I20">
        <f t="shared" ref="I20" si="7">SUM(I17:I19)</f>
        <v>0</v>
      </c>
      <c r="J20">
        <f t="shared" ref="J20" si="8">SUM(J17:J19)</f>
        <v>0</v>
      </c>
      <c r="K20">
        <f t="shared" ref="K20" si="9">SUM(K17:K19)</f>
        <v>0</v>
      </c>
      <c r="L20">
        <f t="shared" ref="L20" si="10">SUM(L17:L19)</f>
        <v>0</v>
      </c>
      <c r="M20">
        <f t="shared" ref="M20" si="11">SUM(M17:M19)</f>
        <v>0</v>
      </c>
    </row>
    <row r="23" spans="1:13" x14ac:dyDescent="0.45">
      <c r="B23">
        <v>2016</v>
      </c>
    </row>
    <row r="24" spans="1:13" x14ac:dyDescent="0.45">
      <c r="B24" t="s">
        <v>22</v>
      </c>
      <c r="C24" t="s">
        <v>23</v>
      </c>
      <c r="D24" t="s">
        <v>24</v>
      </c>
      <c r="E24" t="s">
        <v>25</v>
      </c>
      <c r="F24" t="s">
        <v>26</v>
      </c>
      <c r="G24" t="s">
        <v>27</v>
      </c>
      <c r="H24" t="s">
        <v>28</v>
      </c>
      <c r="I24" t="s">
        <v>29</v>
      </c>
      <c r="J24" t="s">
        <v>30</v>
      </c>
      <c r="K24" t="s">
        <v>31</v>
      </c>
      <c r="L24" t="s">
        <v>32</v>
      </c>
      <c r="M24" t="s">
        <v>33</v>
      </c>
    </row>
    <row r="25" spans="1:13" x14ac:dyDescent="0.45">
      <c r="A25" t="s">
        <v>35</v>
      </c>
      <c r="B25">
        <f>COUNTIFS('CONTROL ACTAS Y CONTRATOS'!$D$8:$D$1048576,"ACTA",'CONTROL ACTAS Y CONTRATOS'!$A$8:$A$1048576,"&gt;=01/01/2016",'CONTROL ACTAS Y CONTRATOS'!$A$8:$A$1048576,"&lt;=31/01/2016")</f>
        <v>0</v>
      </c>
      <c r="C25">
        <f>COUNTIFS('CONTROL ACTAS Y CONTRATOS'!$D$8:$D$1048576,"ACTA",'CONTROL ACTAS Y CONTRATOS'!$A$8:$A$1048576,"&gt;=01/02/2016",'CONTROL ACTAS Y CONTRATOS'!$A$8:$A$1048576,"&lt;=28/02/2016")</f>
        <v>0</v>
      </c>
      <c r="D25">
        <f>COUNTIFS('CONTROL ACTAS Y CONTRATOS'!$D$8:$D$1048576,"ACTA",'CONTROL ACTAS Y CONTRATOS'!$A$8:$A$1048576,"&gt;=01/03/2016",'CONTROL ACTAS Y CONTRATOS'!$A$8:$A$1048576,"&lt;=31/03/2016")</f>
        <v>0</v>
      </c>
      <c r="E25">
        <f>COUNTIFS('CONTROL ACTAS Y CONTRATOS'!$D$8:$D$1048576,"ACTA",'CONTROL ACTAS Y CONTRATOS'!$A$8:$A$1048576,"&gt;=01/04/2016",'CONTROL ACTAS Y CONTRATOS'!$A$8:$A$1048576,"&lt;=30/04/2016")</f>
        <v>0</v>
      </c>
      <c r="F25">
        <f>COUNTIFS('CONTROL ACTAS Y CONTRATOS'!$D$8:$D$1048576,"ACTA",'CONTROL ACTAS Y CONTRATOS'!$A$8:$A$1048576,"&gt;=01/05/2016",'CONTROL ACTAS Y CONTRATOS'!$A$8:$A$1048576,"&lt;=31/05/2016")</f>
        <v>0</v>
      </c>
      <c r="G25">
        <f>COUNTIFS('CONTROL ACTAS Y CONTRATOS'!$D$8:$D$1048576,"ACTA",'CONTROL ACTAS Y CONTRATOS'!$A$8:$A$1048576,"&gt;=01/06/2016",'CONTROL ACTAS Y CONTRATOS'!$A$8:$A$1048576,"&lt;=30/06/2016")</f>
        <v>0</v>
      </c>
      <c r="H25">
        <f>COUNTIFS('CONTROL ACTAS Y CONTRATOS'!$D$8:$D$1048576,"ACTA",'CONTROL ACTAS Y CONTRATOS'!$A$8:$A$1048576,"&gt;=01/07/2016",'CONTROL ACTAS Y CONTRATOS'!$A$8:$A$1048576,"&lt;=31/07/2016")</f>
        <v>0</v>
      </c>
      <c r="I25">
        <f>COUNTIFS('CONTROL ACTAS Y CONTRATOS'!$D$8:$D$1048576,"ACTA",'CONTROL ACTAS Y CONTRATOS'!$A$8:$A$1048576,"&gt;=01/08/2016",'CONTROL ACTAS Y CONTRATOS'!$A$8:$A$1048576,"&lt;=31/08/2016")</f>
        <v>0</v>
      </c>
      <c r="J25">
        <f>COUNTIFS('CONTROL ACTAS Y CONTRATOS'!$D$8:$D$1048576,"ACTA",'CONTROL ACTAS Y CONTRATOS'!$A$8:$A$1048576,"&gt;=01/09/2016",'CONTROL ACTAS Y CONTRATOS'!$A$8:$A$1048576,"&lt;=30/09/2016")</f>
        <v>0</v>
      </c>
      <c r="K25">
        <f>COUNTIFS('CONTROL ACTAS Y CONTRATOS'!$D$8:$D$1048576,"ACTA",'CONTROL ACTAS Y CONTRATOS'!$A$8:$A$1048576,"&gt;=01/10/2016",'CONTROL ACTAS Y CONTRATOS'!$A$8:$A$1048576,"&lt;=31/10/2016")</f>
        <v>0</v>
      </c>
      <c r="L25">
        <f>COUNTIFS('CONTROL ACTAS Y CONTRATOS'!$D$8:$D$1048576,"ACTA",'CONTROL ACTAS Y CONTRATOS'!$A$8:$A$1048576,"&gt;=01/11/2016",'CONTROL ACTAS Y CONTRATOS'!$A$8:$A$1048576,"&lt;=30/11/2016")</f>
        <v>0</v>
      </c>
      <c r="M25">
        <f>COUNTIFS('CONTROL ACTAS Y CONTRATOS'!$D$8:$D$1048576,"ACTA",'CONTROL ACTAS Y CONTRATOS'!$A$8:$A$1048576,"&gt;=01/12/2016",'CONTROL ACTAS Y CONTRATOS'!$A$8:$A$1048576,"&lt;=31/12/2016")</f>
        <v>0</v>
      </c>
    </row>
    <row r="26" spans="1:13" x14ac:dyDescent="0.45">
      <c r="A26" t="s">
        <v>34</v>
      </c>
      <c r="B26">
        <f>COUNTIFS('CONTROL ACTAS Y CONTRATOS'!$D$8:$D$1048576,"CONTRATO",'CONTROL ACTAS Y CONTRATOS'!$A$8:$A$1048576,"&gt;=01/01/2016",'CONTROL ACTAS Y CONTRATOS'!$A$8:$A$1048576,"&lt;=31/01/2016")</f>
        <v>0</v>
      </c>
      <c r="C26">
        <f>COUNTIFS('CONTROL ACTAS Y CONTRATOS'!$D$8:$D$1048576,"CONTRATO",'CONTROL ACTAS Y CONTRATOS'!$A$8:$A$1048576,"&gt;=01/02/2016",'CONTROL ACTAS Y CONTRATOS'!$A$8:$A$1048576,"&lt;=28/02/2016")</f>
        <v>0</v>
      </c>
      <c r="D26">
        <f>COUNTIFS('CONTROL ACTAS Y CONTRATOS'!$D$8:$D$1048576,"CONTRATO",'CONTROL ACTAS Y CONTRATOS'!$A$8:$A$1048576,"&gt;=01/03/2016",'CONTROL ACTAS Y CONTRATOS'!$A$8:$A$1048576,"&lt;=31/03/2016")</f>
        <v>0</v>
      </c>
      <c r="E26">
        <f>COUNTIFS('CONTROL ACTAS Y CONTRATOS'!$D$8:$D$1048576,"CONTRATO",'CONTROL ACTAS Y CONTRATOS'!$A$8:$A$1048576,"&gt;=01/04/2016",'CONTROL ACTAS Y CONTRATOS'!$A$8:$A$1048576,"&lt;=30/04/2016")</f>
        <v>0</v>
      </c>
      <c r="F26">
        <f>COUNTIFS('CONTROL ACTAS Y CONTRATOS'!$D$8:$D$1048576,"CONTRATO",'CONTROL ACTAS Y CONTRATOS'!$A$8:$A$1048576,"&gt;=01/05/2016",'CONTROL ACTAS Y CONTRATOS'!$A$8:$A$1048576,"&lt;=31/05/2016")</f>
        <v>0</v>
      </c>
      <c r="G26">
        <f>COUNTIFS('CONTROL ACTAS Y CONTRATOS'!$D$8:$D$1048576,"CONTRATO",'CONTROL ACTAS Y CONTRATOS'!$A$8:$A$1048576,"&gt;=01/06/2016",'CONTROL ACTAS Y CONTRATOS'!$A$8:$A$1048576,"&lt;=30/06/2016")</f>
        <v>0</v>
      </c>
      <c r="H26">
        <f>COUNTIFS('CONTROL ACTAS Y CONTRATOS'!$D$8:$D$1048576,"CONTRATO",'CONTROL ACTAS Y CONTRATOS'!$A$8:$A$1048576,"&gt;=01/07/2016",'CONTROL ACTAS Y CONTRATOS'!$A$8:$A$1048576,"&lt;=31/07/2016")</f>
        <v>0</v>
      </c>
      <c r="I26">
        <f>COUNTIFS('CONTROL ACTAS Y CONTRATOS'!$D$8:$D$1048576,"CONTRATO",'CONTROL ACTAS Y CONTRATOS'!$A$8:$A$1048576,"&gt;=01/08/2016",'CONTROL ACTAS Y CONTRATOS'!$A$8:$A$1048576,"&lt;=31/08/2016")</f>
        <v>0</v>
      </c>
      <c r="J26">
        <f>COUNTIFS('CONTROL ACTAS Y CONTRATOS'!$D$8:$D$1048576,"CONTRATO",'CONTROL ACTAS Y CONTRATOS'!$A$8:$A$1048576,"&gt;=01/09/2016",'CONTROL ACTAS Y CONTRATOS'!$A$8:$A$1048576,"&lt;=30/09/2016")</f>
        <v>0</v>
      </c>
      <c r="K26">
        <f>COUNTIFS('CONTROL ACTAS Y CONTRATOS'!$D$8:$D$1048576,"CONTRATO",'CONTROL ACTAS Y CONTRATOS'!$A$8:$A$1048576,"&gt;=01/10/2016",'CONTROL ACTAS Y CONTRATOS'!$A$8:$A$1048576,"&lt;=31/10/2016")</f>
        <v>0</v>
      </c>
      <c r="L26">
        <f>COUNTIFS('CONTROL ACTAS Y CONTRATOS'!$D$8:$D$1048576,"CONTRATO",'CONTROL ACTAS Y CONTRATOS'!$A$8:$A$1048576,"&gt;=01/11/2016",'CONTROL ACTAS Y CONTRATOS'!$A$8:$A$1048576,"&lt;=30/11/2016")</f>
        <v>0</v>
      </c>
      <c r="M26">
        <f>COUNTIFS('CONTROL ACTAS Y CONTRATOS'!$D$8:$D$1048576,"CONTRATO",'CONTROL ACTAS Y CONTRATOS'!$A$8:$A$1048576,"&gt;=01/12/2016",'CONTROL ACTAS Y CONTRATOS'!$A$8:$A$1048576,"&lt;=31/12/2016")</f>
        <v>0</v>
      </c>
    </row>
    <row r="27" spans="1:13" x14ac:dyDescent="0.45">
      <c r="A27" t="s">
        <v>36</v>
      </c>
      <c r="B27">
        <f>COUNTIFS('CONTROL ACTAS Y CONTRATOS'!$D$8:$D$1048576,"ADENDUM",'CONTROL ACTAS Y CONTRATOS'!$A$8:$A$1048576,"&gt;=01/01/2016",'CONTROL ACTAS Y CONTRATOS'!$A$8:$A$1048576,"&lt;=31/01/2016")</f>
        <v>0</v>
      </c>
      <c r="C27">
        <f>COUNTIFS('CONTROL ACTAS Y CONTRATOS'!$D$8:$D$1048576,"ADENDUM",'CONTROL ACTAS Y CONTRATOS'!$A$8:$A$1048576,"&gt;=01/02/2016",'CONTROL ACTAS Y CONTRATOS'!$A$8:$A$1048576,"&lt;=28/02/2016")</f>
        <v>0</v>
      </c>
      <c r="D27">
        <f>COUNTIFS('CONTROL ACTAS Y CONTRATOS'!$D$8:$D$1048576,"ADENDUM",'CONTROL ACTAS Y CONTRATOS'!$A$8:$A$1048576,"&gt;=01/03/2016",'CONTROL ACTAS Y CONTRATOS'!$A$8:$A$1048576,"&lt;=31/03/2016")</f>
        <v>0</v>
      </c>
      <c r="E27">
        <f>COUNTIFS('CONTROL ACTAS Y CONTRATOS'!$D$8:$D$1048576,"ADENDUM",'CONTROL ACTAS Y CONTRATOS'!$A$8:$A$1048576,"&gt;=01/04/2016",'CONTROL ACTAS Y CONTRATOS'!$A$8:$A$1048576,"&lt;=30/04/2016")</f>
        <v>0</v>
      </c>
      <c r="F27">
        <f>COUNTIFS('CONTROL ACTAS Y CONTRATOS'!$D$8:$D$1048576,"ADENDUM",'CONTROL ACTAS Y CONTRATOS'!$A$8:$A$1048576,"&gt;=01/05/2016",'CONTROL ACTAS Y CONTRATOS'!$A$8:$A$1048576,"&lt;=31/05/2016")</f>
        <v>0</v>
      </c>
      <c r="G27">
        <f>COUNTIFS('CONTROL ACTAS Y CONTRATOS'!$D$8:$D$1048576,"ADENDUM",'CONTROL ACTAS Y CONTRATOS'!$A$8:$A$1048576,"&gt;=01/06/2016",'CONTROL ACTAS Y CONTRATOS'!$A$8:$A$1048576,"&lt;=30/06/2016")</f>
        <v>0</v>
      </c>
      <c r="H27">
        <f>COUNTIFS('CONTROL ACTAS Y CONTRATOS'!$D$8:$D$1048576,"ADENDUM",'CONTROL ACTAS Y CONTRATOS'!$A$8:$A$1048576,"&gt;=01/07/2016",'CONTROL ACTAS Y CONTRATOS'!$A$8:$A$1048576,"&lt;=31/07/2016")</f>
        <v>0</v>
      </c>
      <c r="I27">
        <f>COUNTIFS('CONTROL ACTAS Y CONTRATOS'!$D$8:$D$1048576,"ADENDUM",'CONTROL ACTAS Y CONTRATOS'!$A$8:$A$1048576,"&gt;=01/08/2016",'CONTROL ACTAS Y CONTRATOS'!$A$8:$A$1048576,"&lt;=31/08/2016")</f>
        <v>0</v>
      </c>
      <c r="J27">
        <f>COUNTIFS('CONTROL ACTAS Y CONTRATOS'!$D$8:$D$1048576,"ADENDUM",'CONTROL ACTAS Y CONTRATOS'!$A$8:$A$1048576,"&gt;=01/09/2016",'CONTROL ACTAS Y CONTRATOS'!$A$8:$A$1048576,"&lt;=30/09/2016")</f>
        <v>0</v>
      </c>
      <c r="K27">
        <f>COUNTIFS('CONTROL ACTAS Y CONTRATOS'!$D$8:$D$1048576,"ADENDUM",'CONTROL ACTAS Y CONTRATOS'!$A$8:$A$1048576,"&gt;=01/10/2016",'CONTROL ACTAS Y CONTRATOS'!$A$8:$A$1048576,"&lt;=31/10/2016")</f>
        <v>0</v>
      </c>
      <c r="L27">
        <f>COUNTIFS('CONTROL ACTAS Y CONTRATOS'!$D$8:$D$1048576,"ADENDUM",'CONTROL ACTAS Y CONTRATOS'!$A$8:$A$1048576,"&gt;=01/11/2016",'CONTROL ACTAS Y CONTRATOS'!$A$8:$A$1048576,"&lt;=30/11/2016")</f>
        <v>0</v>
      </c>
      <c r="M27">
        <f>COUNTIFS('CONTROL ACTAS Y CONTRATOS'!$D$8:$D$1048576,"ADENDUM",'CONTROL ACTAS Y CONTRATOS'!$A$8:$A$1048576,"&gt;=01/12/2016",'CONTROL ACTAS Y CONTRATOS'!$A$8:$A$1048576,"&lt;=31/12/2016")</f>
        <v>0</v>
      </c>
    </row>
    <row r="28" spans="1:13" x14ac:dyDescent="0.45">
      <c r="A28" t="s">
        <v>39</v>
      </c>
      <c r="B28">
        <f>SUM(B25:B27)</f>
        <v>0</v>
      </c>
      <c r="C28">
        <f t="shared" ref="C28" si="12">SUM(C25:C27)</f>
        <v>0</v>
      </c>
      <c r="D28">
        <f t="shared" ref="D28" si="13">SUM(D25:D27)</f>
        <v>0</v>
      </c>
      <c r="E28">
        <f t="shared" ref="E28" si="14">SUM(E25:E27)</f>
        <v>0</v>
      </c>
      <c r="F28">
        <f t="shared" ref="F28" si="15">SUM(F25:F27)</f>
        <v>0</v>
      </c>
      <c r="G28">
        <f t="shared" ref="G28" si="16">SUM(G25:G27)</f>
        <v>0</v>
      </c>
      <c r="H28">
        <f t="shared" ref="H28" si="17">SUM(H25:H27)</f>
        <v>0</v>
      </c>
      <c r="I28">
        <f t="shared" ref="I28" si="18">SUM(I25:I27)</f>
        <v>0</v>
      </c>
      <c r="J28">
        <f t="shared" ref="J28" si="19">SUM(J25:J27)</f>
        <v>0</v>
      </c>
      <c r="K28">
        <f t="shared" ref="K28" si="20">SUM(K25:K27)</f>
        <v>0</v>
      </c>
      <c r="L28">
        <f t="shared" ref="L28" si="21">SUM(L25:L27)</f>
        <v>0</v>
      </c>
      <c r="M28">
        <f t="shared" ref="M28" si="22">SUM(M25:M27)</f>
        <v>0</v>
      </c>
    </row>
    <row r="31" spans="1:13" x14ac:dyDescent="0.45">
      <c r="B31">
        <v>2015</v>
      </c>
    </row>
    <row r="32" spans="1:13" x14ac:dyDescent="0.45">
      <c r="B32" t="s">
        <v>22</v>
      </c>
      <c r="C32" t="s">
        <v>23</v>
      </c>
      <c r="D32" t="s">
        <v>24</v>
      </c>
      <c r="E32" t="s">
        <v>25</v>
      </c>
      <c r="F32" t="s">
        <v>26</v>
      </c>
      <c r="G32" t="s">
        <v>27</v>
      </c>
      <c r="H32" t="s">
        <v>28</v>
      </c>
      <c r="I32" t="s">
        <v>29</v>
      </c>
      <c r="J32" t="s">
        <v>30</v>
      </c>
      <c r="K32" t="s">
        <v>31</v>
      </c>
      <c r="L32" t="s">
        <v>32</v>
      </c>
      <c r="M32" t="s">
        <v>33</v>
      </c>
    </row>
    <row r="33" spans="1:13" x14ac:dyDescent="0.45">
      <c r="A33" t="s">
        <v>35</v>
      </c>
      <c r="B33">
        <f>COUNTIFS('CONTROL ACTAS Y CONTRATOS'!$D$8:$D$1048576,"ACTA",'CONTROL ACTAS Y CONTRATOS'!$A$8:$A$1048576,"&gt;=01/01/2015",'CONTROL ACTAS Y CONTRATOS'!$A$8:$A$1048576,"&lt;=31/01/2015")</f>
        <v>0</v>
      </c>
      <c r="C33">
        <f>COUNTIFS('CONTROL ACTAS Y CONTRATOS'!$D$8:$D$1048576,"ACTA",'CONTROL ACTAS Y CONTRATOS'!$A$8:$A$1048576,"&gt;=01/02/2015",'CONTROL ACTAS Y CONTRATOS'!$A$8:$A$1048576,"&lt;=28/02/2015")</f>
        <v>0</v>
      </c>
      <c r="D33">
        <f>COUNTIFS('CONTROL ACTAS Y CONTRATOS'!$D$8:$D$1048576,"ACTA",'CONTROL ACTAS Y CONTRATOS'!$A$8:$A$1048576,"&gt;=01/03/2015",'CONTROL ACTAS Y CONTRATOS'!$A$8:$A$1048576,"&lt;=31/03/2015")</f>
        <v>0</v>
      </c>
      <c r="E33">
        <f>COUNTIFS('CONTROL ACTAS Y CONTRATOS'!$D$8:$D$1048576,"ACTA",'CONTROL ACTAS Y CONTRATOS'!$A$8:$A$1048576,"&gt;=01/04/2015",'CONTROL ACTAS Y CONTRATOS'!$A$8:$A$1048576,"&lt;=30/04/2015")</f>
        <v>0</v>
      </c>
      <c r="F33">
        <f>COUNTIFS('CONTROL ACTAS Y CONTRATOS'!$D$8:$D$1048576,"ACTA",'CONTROL ACTAS Y CONTRATOS'!$A$8:$A$1048576,"&gt;=01/05/2015",'CONTROL ACTAS Y CONTRATOS'!$A$8:$A$1048576,"&lt;=31/05/2015")</f>
        <v>0</v>
      </c>
      <c r="G33">
        <f>COUNTIFS('CONTROL ACTAS Y CONTRATOS'!$D$8:$D$1048576,"ACTA",'CONTROL ACTAS Y CONTRATOS'!$A$8:$A$1048576,"&gt;=01/06/2015",'CONTROL ACTAS Y CONTRATOS'!$A$8:$A$1048576,"&lt;=30/06/2015")</f>
        <v>0</v>
      </c>
      <c r="H33">
        <f>COUNTIFS('CONTROL ACTAS Y CONTRATOS'!$D$8:$D$1048576,"ACTA",'CONTROL ACTAS Y CONTRATOS'!$A$8:$A$1048576,"&gt;=01/07/2015",'CONTROL ACTAS Y CONTRATOS'!$A$8:$A$1048576,"&lt;=31/07/2015")</f>
        <v>0</v>
      </c>
      <c r="I33">
        <f>COUNTIFS('CONTROL ACTAS Y CONTRATOS'!$D$8:$D$1048576,"ACTA",'CONTROL ACTAS Y CONTRATOS'!$A$8:$A$1048576,"&gt;=01/08/2015",'CONTROL ACTAS Y CONTRATOS'!$A$8:$A$1048576,"&lt;=31/08/2015")</f>
        <v>0</v>
      </c>
      <c r="J33">
        <f>COUNTIFS('CONTROL ACTAS Y CONTRATOS'!$D$8:$D$1048576,"ACTA",'CONTROL ACTAS Y CONTRATOS'!$A$8:$A$1048576,"&gt;=01/09/2015",'CONTROL ACTAS Y CONTRATOS'!$A$8:$A$1048576,"&lt;=30/09/2015")</f>
        <v>0</v>
      </c>
      <c r="K33">
        <f>COUNTIFS('CONTROL ACTAS Y CONTRATOS'!$D$8:$D$1048576,"ACTA",'CONTROL ACTAS Y CONTRATOS'!$A$8:$A$1048576,"&gt;=01/10/2015",'CONTROL ACTAS Y CONTRATOS'!$A$8:$A$1048576,"&lt;=31/10/2015")</f>
        <v>0</v>
      </c>
      <c r="L33">
        <f>COUNTIFS('CONTROL ACTAS Y CONTRATOS'!$D$8:$D$1048576,"ACTA",'CONTROL ACTAS Y CONTRATOS'!$A$8:$A$1048576,"&gt;=01/11/2015",'CONTROL ACTAS Y CONTRATOS'!$A$8:$A$1048576,"&lt;=30/11/2015")</f>
        <v>0</v>
      </c>
      <c r="M33">
        <f>COUNTIFS('CONTROL ACTAS Y CONTRATOS'!$D$8:$D$1048576,"ACTA",'CONTROL ACTAS Y CONTRATOS'!$A$8:$A$1048576,"&gt;=01/12/2015",'CONTROL ACTAS Y CONTRATOS'!$A$8:$A$1048576,"&lt;=31/12/2015")</f>
        <v>0</v>
      </c>
    </row>
    <row r="34" spans="1:13" x14ac:dyDescent="0.45">
      <c r="A34" t="s">
        <v>34</v>
      </c>
      <c r="B34">
        <f>COUNTIFS('CONTROL ACTAS Y CONTRATOS'!$D$8:$D$1048576,"CONTRATO",'CONTROL ACTAS Y CONTRATOS'!$A$8:$A$1048576,"&gt;=01/01/2015",'CONTROL ACTAS Y CONTRATOS'!$A$8:$A$1048576,"&lt;=31/01/2015")</f>
        <v>0</v>
      </c>
      <c r="C34">
        <f>COUNTIFS('CONTROL ACTAS Y CONTRATOS'!$D$8:$D$1048576,"CONTRATO",'CONTROL ACTAS Y CONTRATOS'!$A$8:$A$1048576,"&gt;=01/02/2015",'CONTROL ACTAS Y CONTRATOS'!$A$8:$A$1048576,"&lt;=28/02/2015")</f>
        <v>0</v>
      </c>
      <c r="D34">
        <f>COUNTIFS('CONTROL ACTAS Y CONTRATOS'!$D$8:$D$1048576,"CONTRATO",'CONTROL ACTAS Y CONTRATOS'!$A$8:$A$1048576,"&gt;=01/03/2015",'CONTROL ACTAS Y CONTRATOS'!$A$8:$A$1048576,"&lt;=31/03/2015")</f>
        <v>0</v>
      </c>
      <c r="E34">
        <f>COUNTIFS('CONTROL ACTAS Y CONTRATOS'!$D$8:$D$1048576,"CONTRATO",'CONTROL ACTAS Y CONTRATOS'!$A$8:$A$1048576,"&gt;=01/04/2015",'CONTROL ACTAS Y CONTRATOS'!$A$8:$A$1048576,"&lt;=30/04/2015")</f>
        <v>0</v>
      </c>
      <c r="F34">
        <f>COUNTIFS('CONTROL ACTAS Y CONTRATOS'!$D$8:$D$1048576,"CONTRATO",'CONTROL ACTAS Y CONTRATOS'!$A$8:$A$1048576,"&gt;=01/05/2015",'CONTROL ACTAS Y CONTRATOS'!$A$8:$A$1048576,"&lt;=31/05/2015")</f>
        <v>0</v>
      </c>
      <c r="G34">
        <f>COUNTIFS('CONTROL ACTAS Y CONTRATOS'!$D$8:$D$1048576,"CONTRATO",'CONTROL ACTAS Y CONTRATOS'!$A$8:$A$1048576,"&gt;=01/06/2015",'CONTROL ACTAS Y CONTRATOS'!$A$8:$A$1048576,"&lt;=30/06/2015")</f>
        <v>0</v>
      </c>
      <c r="H34">
        <f>COUNTIFS('CONTROL ACTAS Y CONTRATOS'!$D$8:$D$1048576,"CONTRATO",'CONTROL ACTAS Y CONTRATOS'!$A$8:$A$1048576,"&gt;=01/07/2015",'CONTROL ACTAS Y CONTRATOS'!$A$8:$A$1048576,"&lt;=31/07/2015")</f>
        <v>0</v>
      </c>
      <c r="I34">
        <f>COUNTIFS('CONTROL ACTAS Y CONTRATOS'!$D$8:$D$1048576,"CONTRATO",'CONTROL ACTAS Y CONTRATOS'!$A$8:$A$1048576,"&gt;=01/08/2015",'CONTROL ACTAS Y CONTRATOS'!$A$8:$A$1048576,"&lt;=31/08/2015")</f>
        <v>0</v>
      </c>
      <c r="J34">
        <f>COUNTIFS('CONTROL ACTAS Y CONTRATOS'!$D$8:$D$1048576,"CONTRATO",'CONTROL ACTAS Y CONTRATOS'!$A$8:$A$1048576,"&gt;=01/09/2015",'CONTROL ACTAS Y CONTRATOS'!$A$8:$A$1048576,"&lt;=30/09/2015")</f>
        <v>0</v>
      </c>
      <c r="K34">
        <f>COUNTIFS('CONTROL ACTAS Y CONTRATOS'!$D$8:$D$1048576,"CONTRATO",'CONTROL ACTAS Y CONTRATOS'!$A$8:$A$1048576,"&gt;=01/10/2015",'CONTROL ACTAS Y CONTRATOS'!$A$8:$A$1048576,"&lt;=31/10/2015")</f>
        <v>0</v>
      </c>
      <c r="L34">
        <f>COUNTIFS('CONTROL ACTAS Y CONTRATOS'!$D$8:$D$1048576,"CONTRATO",'CONTROL ACTAS Y CONTRATOS'!$A$8:$A$1048576,"&gt;=01/11/2015",'CONTROL ACTAS Y CONTRATOS'!$A$8:$A$1048576,"&lt;=30/11/2015")</f>
        <v>0</v>
      </c>
      <c r="M34">
        <f>COUNTIFS('CONTROL ACTAS Y CONTRATOS'!$D$8:$D$1048576,"CONTRATO",'CONTROL ACTAS Y CONTRATOS'!$A$8:$A$1048576,"&gt;=01/12/2015",'CONTROL ACTAS Y CONTRATOS'!$A$8:$A$1048576,"&lt;=31/12/2015")</f>
        <v>0</v>
      </c>
    </row>
    <row r="35" spans="1:13" x14ac:dyDescent="0.45">
      <c r="A35" t="s">
        <v>36</v>
      </c>
      <c r="B35">
        <f>COUNTIFS('CONTROL ACTAS Y CONTRATOS'!$D$8:$D$1048576,"ADENDUM",'CONTROL ACTAS Y CONTRATOS'!$A$8:$A$1048576,"&gt;=01/01/2015",'CONTROL ACTAS Y CONTRATOS'!$A$8:$A$1048576,"&lt;=31/01/2015")</f>
        <v>0</v>
      </c>
      <c r="C35">
        <f>COUNTIFS('CONTROL ACTAS Y CONTRATOS'!$D$8:$D$1048576,"ADENDUM",'CONTROL ACTAS Y CONTRATOS'!$A$8:$A$1048576,"&gt;=01/02/2015",'CONTROL ACTAS Y CONTRATOS'!$A$8:$A$1048576,"&lt;=28/02/2015")</f>
        <v>0</v>
      </c>
      <c r="D35">
        <f>COUNTIFS('CONTROL ACTAS Y CONTRATOS'!$D$8:$D$1048576,"ADENDUM",'CONTROL ACTAS Y CONTRATOS'!$A$8:$A$1048576,"&gt;=01/03/2015",'CONTROL ACTAS Y CONTRATOS'!$A$8:$A$1048576,"&lt;=31/03/2015")</f>
        <v>0</v>
      </c>
      <c r="E35">
        <f>COUNTIFS('CONTROL ACTAS Y CONTRATOS'!$D$8:$D$1048576,"ADENDUM",'CONTROL ACTAS Y CONTRATOS'!$A$8:$A$1048576,"&gt;=01/04/2015",'CONTROL ACTAS Y CONTRATOS'!$A$8:$A$1048576,"&lt;=30/04/2015")</f>
        <v>0</v>
      </c>
      <c r="F35">
        <f>COUNTIFS('CONTROL ACTAS Y CONTRATOS'!$D$8:$D$1048576,"ADENDUM",'CONTROL ACTAS Y CONTRATOS'!$A$8:$A$1048576,"&gt;=01/05/2015",'CONTROL ACTAS Y CONTRATOS'!$A$8:$A$1048576,"&lt;=31/05/2015")</f>
        <v>0</v>
      </c>
      <c r="G35">
        <f>COUNTIFS('CONTROL ACTAS Y CONTRATOS'!$D$8:$D$1048576,"ADENDUM",'CONTROL ACTAS Y CONTRATOS'!$A$8:$A$1048576,"&gt;=01/06/2015",'CONTROL ACTAS Y CONTRATOS'!$A$8:$A$1048576,"&lt;=30/06/2015")</f>
        <v>0</v>
      </c>
      <c r="H35">
        <f>COUNTIFS('CONTROL ACTAS Y CONTRATOS'!$D$8:$D$1048576,"ADENDUM",'CONTROL ACTAS Y CONTRATOS'!$A$8:$A$1048576,"&gt;=01/07/2015",'CONTROL ACTAS Y CONTRATOS'!$A$8:$A$1048576,"&lt;=31/07/2015")</f>
        <v>0</v>
      </c>
      <c r="I35">
        <f>COUNTIFS('CONTROL ACTAS Y CONTRATOS'!$D$8:$D$1048576,"ADENDUM",'CONTROL ACTAS Y CONTRATOS'!$A$8:$A$1048576,"&gt;=01/08/2015",'CONTROL ACTAS Y CONTRATOS'!$A$8:$A$1048576,"&lt;=31/08/2015")</f>
        <v>0</v>
      </c>
      <c r="J35">
        <f>COUNTIFS('CONTROL ACTAS Y CONTRATOS'!$D$8:$D$1048576,"ADENDUM",'CONTROL ACTAS Y CONTRATOS'!$A$8:$A$1048576,"&gt;=01/09/2015",'CONTROL ACTAS Y CONTRATOS'!$A$8:$A$1048576,"&lt;=30/09/2015")</f>
        <v>0</v>
      </c>
      <c r="K35">
        <f>COUNTIFS('CONTROL ACTAS Y CONTRATOS'!$D$8:$D$1048576,"ADENDUM",'CONTROL ACTAS Y CONTRATOS'!$A$8:$A$1048576,"&gt;=01/10/2015",'CONTROL ACTAS Y CONTRATOS'!$A$8:$A$1048576,"&lt;=31/10/2015")</f>
        <v>0</v>
      </c>
      <c r="L35">
        <f>COUNTIFS('CONTROL ACTAS Y CONTRATOS'!$D$8:$D$1048576,"ADENDUM",'CONTROL ACTAS Y CONTRATOS'!$A$8:$A$1048576,"&gt;=01/11/2015",'CONTROL ACTAS Y CONTRATOS'!$A$8:$A$1048576,"&lt;=30/11/2015")</f>
        <v>0</v>
      </c>
      <c r="M35">
        <f>COUNTIFS('CONTROL ACTAS Y CONTRATOS'!$D$8:$D$1048576,"ADENDUM",'CONTROL ACTAS Y CONTRATOS'!$A$8:$A$1048576,"&gt;=01/12/2015",'CONTROL ACTAS Y CONTRATOS'!$A$8:$A$1048576,"&lt;=31/12/2015")</f>
        <v>0</v>
      </c>
    </row>
    <row r="36" spans="1:13" x14ac:dyDescent="0.45">
      <c r="A36" t="s">
        <v>39</v>
      </c>
      <c r="B36">
        <f>SUM(B33:B35)</f>
        <v>0</v>
      </c>
      <c r="C36">
        <f t="shared" ref="C36" si="23">SUM(C33:C35)</f>
        <v>0</v>
      </c>
      <c r="D36">
        <f t="shared" ref="D36" si="24">SUM(D33:D35)</f>
        <v>0</v>
      </c>
      <c r="E36">
        <f t="shared" ref="E36" si="25">SUM(E33:E35)</f>
        <v>0</v>
      </c>
      <c r="F36">
        <f t="shared" ref="F36" si="26">SUM(F33:F35)</f>
        <v>0</v>
      </c>
      <c r="G36">
        <f t="shared" ref="G36" si="27">SUM(G33:G35)</f>
        <v>0</v>
      </c>
      <c r="H36">
        <f t="shared" ref="H36" si="28">SUM(H33:H35)</f>
        <v>0</v>
      </c>
      <c r="I36">
        <f t="shared" ref="I36" si="29">SUM(I33:I35)</f>
        <v>0</v>
      </c>
      <c r="J36">
        <f t="shared" ref="J36" si="30">SUM(J33:J35)</f>
        <v>0</v>
      </c>
      <c r="K36">
        <f t="shared" ref="K36" si="31">SUM(K33:K35)</f>
        <v>0</v>
      </c>
      <c r="L36">
        <f t="shared" ref="L36" si="32">SUM(L33:L35)</f>
        <v>0</v>
      </c>
      <c r="M36">
        <f t="shared" ref="M36" si="33">SUM(M33:M35)</f>
        <v>0</v>
      </c>
    </row>
    <row r="39" spans="1:13" x14ac:dyDescent="0.45">
      <c r="B39">
        <v>2014</v>
      </c>
    </row>
    <row r="40" spans="1:13" x14ac:dyDescent="0.45">
      <c r="B40" t="s">
        <v>22</v>
      </c>
      <c r="C40" t="s">
        <v>23</v>
      </c>
      <c r="D40" t="s">
        <v>24</v>
      </c>
      <c r="E40" t="s">
        <v>25</v>
      </c>
      <c r="F40" t="s">
        <v>26</v>
      </c>
      <c r="G40" t="s">
        <v>27</v>
      </c>
      <c r="H40" t="s">
        <v>28</v>
      </c>
      <c r="I40" t="s">
        <v>29</v>
      </c>
      <c r="J40" t="s">
        <v>30</v>
      </c>
      <c r="K40" t="s">
        <v>31</v>
      </c>
      <c r="L40" t="s">
        <v>32</v>
      </c>
      <c r="M40" t="s">
        <v>33</v>
      </c>
    </row>
    <row r="41" spans="1:13" x14ac:dyDescent="0.45">
      <c r="A41" t="s">
        <v>35</v>
      </c>
      <c r="B41">
        <f>COUNTIFS('CONTROL ACTAS Y CONTRATOS'!$D$8:$D$1048576,"ACTA",'CONTROL ACTAS Y CONTRATOS'!$A$8:$A$1048576,"&gt;=01/01/2014",'CONTROL ACTAS Y CONTRATOS'!$A$8:$A$1048576,"&lt;=31/01/2014")</f>
        <v>0</v>
      </c>
      <c r="C41">
        <f>COUNTIFS('CONTROL ACTAS Y CONTRATOS'!$D$8:$D$1048576,"ACTA",'CONTROL ACTAS Y CONTRATOS'!$A$8:$A$1048576,"&gt;=01/02/2014",'CONTROL ACTAS Y CONTRATOS'!$A$8:$A$1048576,"&lt;=28/02/2014")</f>
        <v>0</v>
      </c>
      <c r="D41">
        <f>COUNTIFS('CONTROL ACTAS Y CONTRATOS'!$D$8:$D$1048576,"ACTA",'CONTROL ACTAS Y CONTRATOS'!$A$8:$A$1048576,"&gt;=01/03/2014",'CONTROL ACTAS Y CONTRATOS'!$A$8:$A$1048576,"&lt;=31/03/2014")</f>
        <v>0</v>
      </c>
      <c r="E41">
        <f>COUNTIFS('CONTROL ACTAS Y CONTRATOS'!$D$8:$D$1048576,"ACTA",'CONTROL ACTAS Y CONTRATOS'!$A$8:$A$1048576,"&gt;=01/04/2014",'CONTROL ACTAS Y CONTRATOS'!$A$8:$A$1048576,"&lt;=30/04/2014")</f>
        <v>0</v>
      </c>
      <c r="F41">
        <f>COUNTIFS('CONTROL ACTAS Y CONTRATOS'!$D$8:$D$1048576,"ACTA",'CONTROL ACTAS Y CONTRATOS'!$A$8:$A$1048576,"&gt;=01/05/2014",'CONTROL ACTAS Y CONTRATOS'!$A$8:$A$1048576,"&lt;=31/05/2014")</f>
        <v>0</v>
      </c>
      <c r="G41">
        <f>COUNTIFS('CONTROL ACTAS Y CONTRATOS'!$D$8:$D$1048576,"ACTA",'CONTROL ACTAS Y CONTRATOS'!$A$8:$A$1048576,"&gt;=01/06/2014",'CONTROL ACTAS Y CONTRATOS'!$A$8:$A$1048576,"&lt;=30/06/2014")</f>
        <v>0</v>
      </c>
      <c r="H41">
        <f>COUNTIFS('CONTROL ACTAS Y CONTRATOS'!$D$8:$D$1048576,"ACTA",'CONTROL ACTAS Y CONTRATOS'!$A$8:$A$1048576,"&gt;=01/07/2014",'CONTROL ACTAS Y CONTRATOS'!$A$8:$A$1048576,"&lt;=31/07/2014")</f>
        <v>0</v>
      </c>
      <c r="I41">
        <f>COUNTIFS('CONTROL ACTAS Y CONTRATOS'!$D$8:$D$1048576,"ACTA",'CONTROL ACTAS Y CONTRATOS'!$A$8:$A$1048576,"&gt;=01/08/2014",'CONTROL ACTAS Y CONTRATOS'!$A$8:$A$1048576,"&lt;=31/08/2014")</f>
        <v>0</v>
      </c>
      <c r="J41">
        <f>COUNTIFS('CONTROL ACTAS Y CONTRATOS'!$D$8:$D$1048576,"ACTA",'CONTROL ACTAS Y CONTRATOS'!$A$8:$A$1048576,"&gt;=01/09/2014",'CONTROL ACTAS Y CONTRATOS'!$A$8:$A$1048576,"&lt;=30/09/2014")</f>
        <v>0</v>
      </c>
      <c r="K41">
        <f>COUNTIFS('CONTROL ACTAS Y CONTRATOS'!$D$8:$D$1048576,"ACTA",'CONTROL ACTAS Y CONTRATOS'!$A$8:$A$1048576,"&gt;=01/10/2014",'CONTROL ACTAS Y CONTRATOS'!$A$8:$A$1048576,"&lt;=31/10/2014")</f>
        <v>0</v>
      </c>
      <c r="L41">
        <f>COUNTIFS('CONTROL ACTAS Y CONTRATOS'!$D$8:$D$1048576,"ACTA",'CONTROL ACTAS Y CONTRATOS'!$A$8:$A$1048576,"&gt;=01/11/2014",'CONTROL ACTAS Y CONTRATOS'!$A$8:$A$1048576,"&lt;=30/11/2014")</f>
        <v>0</v>
      </c>
      <c r="M41">
        <f>COUNTIFS('CONTROL ACTAS Y CONTRATOS'!$D$8:$D$1048576,"ACTA",'CONTROL ACTAS Y CONTRATOS'!$A$8:$A$1048576,"&gt;=01/12/2014",'CONTROL ACTAS Y CONTRATOS'!$A$8:$A$1048576,"&lt;=31/12/2014")</f>
        <v>0</v>
      </c>
    </row>
    <row r="42" spans="1:13" x14ac:dyDescent="0.45">
      <c r="A42" t="s">
        <v>34</v>
      </c>
      <c r="B42">
        <f>COUNTIFS('CONTROL ACTAS Y CONTRATOS'!$D$8:$D$1048576,"CONTRATO",'CONTROL ACTAS Y CONTRATOS'!$A$8:$A$1048576,"&gt;=01/01/2014",'CONTROL ACTAS Y CONTRATOS'!$A$8:$A$1048576,"&lt;=31/01/2014")</f>
        <v>0</v>
      </c>
      <c r="C42">
        <f>COUNTIFS('CONTROL ACTAS Y CONTRATOS'!$D$8:$D$1048576,"CONTRATO",'CONTROL ACTAS Y CONTRATOS'!$A$8:$A$1048576,"&gt;=01/02/2014",'CONTROL ACTAS Y CONTRATOS'!$A$8:$A$1048576,"&lt;=28/02/2014")</f>
        <v>0</v>
      </c>
      <c r="D42">
        <f>COUNTIFS('CONTROL ACTAS Y CONTRATOS'!$D$8:$D$1048576,"CONTRATO",'CONTROL ACTAS Y CONTRATOS'!$A$8:$A$1048576,"&gt;=01/03/2014",'CONTROL ACTAS Y CONTRATOS'!$A$8:$A$1048576,"&lt;=31/03/2014")</f>
        <v>0</v>
      </c>
      <c r="E42">
        <f>COUNTIFS('CONTROL ACTAS Y CONTRATOS'!$D$8:$D$1048576,"CONTRATO",'CONTROL ACTAS Y CONTRATOS'!$A$8:$A$1048576,"&gt;=01/04/2014",'CONTROL ACTAS Y CONTRATOS'!$A$8:$A$1048576,"&lt;=30/04/2014")</f>
        <v>0</v>
      </c>
      <c r="F42">
        <f>COUNTIFS('CONTROL ACTAS Y CONTRATOS'!$D$8:$D$1048576,"CONTRATO",'CONTROL ACTAS Y CONTRATOS'!$A$8:$A$1048576,"&gt;=01/05/2014",'CONTROL ACTAS Y CONTRATOS'!$A$8:$A$1048576,"&lt;=31/05/2014")</f>
        <v>0</v>
      </c>
      <c r="G42">
        <f>COUNTIFS('CONTROL ACTAS Y CONTRATOS'!$D$8:$D$1048576,"CONTRATO",'CONTROL ACTAS Y CONTRATOS'!$A$8:$A$1048576,"&gt;=01/06/2014",'CONTROL ACTAS Y CONTRATOS'!$A$8:$A$1048576,"&lt;=30/06/2014")</f>
        <v>0</v>
      </c>
      <c r="H42">
        <f>COUNTIFS('CONTROL ACTAS Y CONTRATOS'!$D$8:$D$1048576,"CONTRATO",'CONTROL ACTAS Y CONTRATOS'!$A$8:$A$1048576,"&gt;=01/07/2014",'CONTROL ACTAS Y CONTRATOS'!$A$8:$A$1048576,"&lt;=31/07/2014")</f>
        <v>0</v>
      </c>
      <c r="I42">
        <f>COUNTIFS('CONTROL ACTAS Y CONTRATOS'!$D$8:$D$1048576,"CONTRATO",'CONTROL ACTAS Y CONTRATOS'!$A$8:$A$1048576,"&gt;=01/08/2014",'CONTROL ACTAS Y CONTRATOS'!$A$8:$A$1048576,"&lt;=31/08/2014")</f>
        <v>0</v>
      </c>
      <c r="J42">
        <f>COUNTIFS('CONTROL ACTAS Y CONTRATOS'!$D$8:$D$1048576,"CONTRATO",'CONTROL ACTAS Y CONTRATOS'!$A$8:$A$1048576,"&gt;=01/09/2014",'CONTROL ACTAS Y CONTRATOS'!$A$8:$A$1048576,"&lt;=30/09/2014")</f>
        <v>0</v>
      </c>
      <c r="K42">
        <f>COUNTIFS('CONTROL ACTAS Y CONTRATOS'!$D$8:$D$1048576,"CONTRATO",'CONTROL ACTAS Y CONTRATOS'!$A$8:$A$1048576,"&gt;=01/10/2014",'CONTROL ACTAS Y CONTRATOS'!$A$8:$A$1048576,"&lt;=31/10/2014")</f>
        <v>0</v>
      </c>
      <c r="L42">
        <f>COUNTIFS('CONTROL ACTAS Y CONTRATOS'!$D$8:$D$1048576,"CONTRATO",'CONTROL ACTAS Y CONTRATOS'!$A$8:$A$1048576,"&gt;=01/11/2014",'CONTROL ACTAS Y CONTRATOS'!$A$8:$A$1048576,"&lt;=30/11/2014")</f>
        <v>0</v>
      </c>
      <c r="M42">
        <f>COUNTIFS('CONTROL ACTAS Y CONTRATOS'!$D$8:$D$1048576,"CONTRATO",'CONTROL ACTAS Y CONTRATOS'!$A$8:$A$1048576,"&gt;=01/12/2014",'CONTROL ACTAS Y CONTRATOS'!$A$8:$A$1048576,"&lt;=31/12/2014")</f>
        <v>0</v>
      </c>
    </row>
    <row r="43" spans="1:13" x14ac:dyDescent="0.45">
      <c r="A43" t="s">
        <v>36</v>
      </c>
      <c r="B43">
        <f>COUNTIFS('CONTROL ACTAS Y CONTRATOS'!$D$8:$D$1048576,"ADENDUM",'CONTROL ACTAS Y CONTRATOS'!$A$8:$A$1048576,"&gt;=01/01/2014",'CONTROL ACTAS Y CONTRATOS'!$A$8:$A$1048576,"&lt;=31/01/2014")</f>
        <v>0</v>
      </c>
      <c r="C43">
        <f>COUNTIFS('CONTROL ACTAS Y CONTRATOS'!$D$8:$D$1048576,"ADENDUM",'CONTROL ACTAS Y CONTRATOS'!$A$8:$A$1048576,"&gt;=01/02/2014",'CONTROL ACTAS Y CONTRATOS'!$A$8:$A$1048576,"&lt;=28/02/2014")</f>
        <v>0</v>
      </c>
      <c r="D43">
        <f>COUNTIFS('CONTROL ACTAS Y CONTRATOS'!$D$8:$D$1048576,"ADENDUM",'CONTROL ACTAS Y CONTRATOS'!$A$8:$A$1048576,"&gt;=01/03/2014",'CONTROL ACTAS Y CONTRATOS'!$A$8:$A$1048576,"&lt;=31/03/2014")</f>
        <v>0</v>
      </c>
      <c r="E43">
        <f>COUNTIFS('CONTROL ACTAS Y CONTRATOS'!$D$8:$D$1048576,"ADENDUM",'CONTROL ACTAS Y CONTRATOS'!$A$8:$A$1048576,"&gt;=01/04/2014",'CONTROL ACTAS Y CONTRATOS'!$A$8:$A$1048576,"&lt;=30/04/2014")</f>
        <v>0</v>
      </c>
      <c r="F43">
        <f>COUNTIFS('CONTROL ACTAS Y CONTRATOS'!$D$8:$D$1048576,"ADENDUM",'CONTROL ACTAS Y CONTRATOS'!$A$8:$A$1048576,"&gt;=01/05/2014",'CONTROL ACTAS Y CONTRATOS'!$A$8:$A$1048576,"&lt;=31/05/2014")</f>
        <v>0</v>
      </c>
      <c r="G43">
        <f>COUNTIFS('CONTROL ACTAS Y CONTRATOS'!$D$8:$D$1048576,"ADENDUM",'CONTROL ACTAS Y CONTRATOS'!$A$8:$A$1048576,"&gt;=01/06/2014",'CONTROL ACTAS Y CONTRATOS'!$A$8:$A$1048576,"&lt;=30/06/2014")</f>
        <v>0</v>
      </c>
      <c r="H43">
        <f>COUNTIFS('CONTROL ACTAS Y CONTRATOS'!$D$8:$D$1048576,"ADENDUM",'CONTROL ACTAS Y CONTRATOS'!$A$8:$A$1048576,"&gt;=01/07/2014",'CONTROL ACTAS Y CONTRATOS'!$A$8:$A$1048576,"&lt;=31/07/2014")</f>
        <v>0</v>
      </c>
      <c r="I43">
        <f>COUNTIFS('CONTROL ACTAS Y CONTRATOS'!$D$8:$D$1048576,"ADENDUM",'CONTROL ACTAS Y CONTRATOS'!$A$8:$A$1048576,"&gt;=01/08/2014",'CONTROL ACTAS Y CONTRATOS'!$A$8:$A$1048576,"&lt;=31/08/2014")</f>
        <v>0</v>
      </c>
      <c r="J43">
        <f>COUNTIFS('CONTROL ACTAS Y CONTRATOS'!$D$8:$D$1048576,"ADENDUM",'CONTROL ACTAS Y CONTRATOS'!$A$8:$A$1048576,"&gt;=01/09/2014",'CONTROL ACTAS Y CONTRATOS'!$A$8:$A$1048576,"&lt;=30/09/2014")</f>
        <v>0</v>
      </c>
      <c r="K43">
        <f>COUNTIFS('CONTROL ACTAS Y CONTRATOS'!$D$8:$D$1048576,"ADENDUM",'CONTROL ACTAS Y CONTRATOS'!$A$8:$A$1048576,"&gt;=01/10/2014",'CONTROL ACTAS Y CONTRATOS'!$A$8:$A$1048576,"&lt;=31/10/2014")</f>
        <v>0</v>
      </c>
      <c r="L43">
        <f>COUNTIFS('CONTROL ACTAS Y CONTRATOS'!$D$8:$D$1048576,"ADENDUM",'CONTROL ACTAS Y CONTRATOS'!$A$8:$A$1048576,"&gt;=01/11/2014",'CONTROL ACTAS Y CONTRATOS'!$A$8:$A$1048576,"&lt;=30/11/2014")</f>
        <v>0</v>
      </c>
      <c r="M43">
        <f>COUNTIFS('CONTROL ACTAS Y CONTRATOS'!$D$8:$D$1048576,"ADENDUM",'CONTROL ACTAS Y CONTRATOS'!$A$8:$A$1048576,"&gt;=01/12/2014",'CONTROL ACTAS Y CONTRATOS'!$A$8:$A$1048576,"&lt;=31/12/2014")</f>
        <v>0</v>
      </c>
    </row>
    <row r="44" spans="1:13" x14ac:dyDescent="0.45">
      <c r="A44" t="s">
        <v>39</v>
      </c>
      <c r="B44">
        <f>SUM(B41:B43)</f>
        <v>0</v>
      </c>
      <c r="C44">
        <f t="shared" ref="C44" si="34">SUM(C41:C43)</f>
        <v>0</v>
      </c>
      <c r="D44">
        <f t="shared" ref="D44" si="35">SUM(D41:D43)</f>
        <v>0</v>
      </c>
      <c r="E44">
        <f t="shared" ref="E44" si="36">SUM(E41:E43)</f>
        <v>0</v>
      </c>
      <c r="F44">
        <f t="shared" ref="F44" si="37">SUM(F41:F43)</f>
        <v>0</v>
      </c>
      <c r="G44">
        <f t="shared" ref="G44" si="38">SUM(G41:G43)</f>
        <v>0</v>
      </c>
      <c r="H44">
        <f t="shared" ref="H44" si="39">SUM(H41:H43)</f>
        <v>0</v>
      </c>
      <c r="I44">
        <f t="shared" ref="I44" si="40">SUM(I41:I43)</f>
        <v>0</v>
      </c>
      <c r="J44">
        <f t="shared" ref="J44" si="41">SUM(J41:J43)</f>
        <v>0</v>
      </c>
      <c r="K44">
        <f t="shared" ref="K44" si="42">SUM(K41:K43)</f>
        <v>0</v>
      </c>
      <c r="L44">
        <f t="shared" ref="L44" si="43">SUM(L41:L43)</f>
        <v>0</v>
      </c>
      <c r="M44">
        <f t="shared" ref="M44" si="44">SUM(M41:M43)</f>
        <v>0</v>
      </c>
    </row>
  </sheetData>
  <mergeCells count="1">
    <mergeCell ref="A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E8"/>
  <sheetViews>
    <sheetView workbookViewId="0">
      <selection activeCell="F9" sqref="F9"/>
    </sheetView>
  </sheetViews>
  <sheetFormatPr defaultColWidth="10.796875" defaultRowHeight="14.25" x14ac:dyDescent="0.45"/>
  <sheetData>
    <row r="2" spans="2:5" ht="14.65" thickBot="1" x14ac:dyDescent="0.5"/>
    <row r="3" spans="2:5" ht="14.65" thickBot="1" x14ac:dyDescent="0.5">
      <c r="B3" s="3" t="s">
        <v>5</v>
      </c>
      <c r="C3" s="5" t="s">
        <v>2</v>
      </c>
      <c r="D3" s="4" t="s">
        <v>10</v>
      </c>
      <c r="E3" s="19" t="s">
        <v>56</v>
      </c>
    </row>
    <row r="4" spans="2:5" x14ac:dyDescent="0.45">
      <c r="B4" t="s">
        <v>6</v>
      </c>
      <c r="C4" t="s">
        <v>14</v>
      </c>
      <c r="D4" t="s">
        <v>11</v>
      </c>
      <c r="E4" t="s">
        <v>55</v>
      </c>
    </row>
    <row r="5" spans="2:5" x14ac:dyDescent="0.45">
      <c r="B5" t="s">
        <v>7</v>
      </c>
      <c r="C5" t="s">
        <v>8</v>
      </c>
      <c r="D5" t="s">
        <v>12</v>
      </c>
      <c r="E5" t="s">
        <v>53</v>
      </c>
    </row>
    <row r="6" spans="2:5" x14ac:dyDescent="0.45">
      <c r="B6" t="s">
        <v>15</v>
      </c>
      <c r="C6" t="s">
        <v>9</v>
      </c>
      <c r="E6" t="s">
        <v>52</v>
      </c>
    </row>
    <row r="7" spans="2:5" x14ac:dyDescent="0.45">
      <c r="C7" t="s">
        <v>13</v>
      </c>
      <c r="E7" t="s">
        <v>49</v>
      </c>
    </row>
    <row r="8" spans="2:5" x14ac:dyDescent="0.45">
      <c r="C8" t="s">
        <v>48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Pantallas</vt:lpstr>
      <vt:lpstr>CONTROL ACTAS Y CONTRATOS</vt:lpstr>
      <vt:lpstr>COBRAR Y CORREGIR</vt:lpstr>
      <vt:lpstr>EVOLUCIÓN</vt:lpstr>
      <vt:lpstr>DETALLE_EVOLUCIÓN</vt:lpstr>
      <vt:lpstr>DATOS 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asesf</dc:creator>
  <cp:lastModifiedBy>Marco Flores</cp:lastModifiedBy>
  <cp:lastPrinted>2018-10-12T20:15:26Z</cp:lastPrinted>
  <dcterms:created xsi:type="dcterms:W3CDTF">2018-01-19T17:26:55Z</dcterms:created>
  <dcterms:modified xsi:type="dcterms:W3CDTF">2018-11-19T18:47:59Z</dcterms:modified>
</cp:coreProperties>
</file>